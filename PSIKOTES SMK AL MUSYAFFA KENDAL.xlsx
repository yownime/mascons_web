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13"/>
  <workbookPr defaultThemeVersion="124226"/>
  <mc:AlternateContent xmlns:mc="http://schemas.openxmlformats.org/markup-compatibility/2006">
    <mc:Choice Requires="x15">
      <x15ac:absPath xmlns:x15ac="http://schemas.microsoft.com/office/spreadsheetml/2010/11/ac" url="C:\Users\LENOVO\Downloads\"/>
    </mc:Choice>
  </mc:AlternateContent>
  <xr:revisionPtr revIDLastSave="0" documentId="13_ncr:1000001_{FE421F0E-4C20-4B4E-8BF0-0687E26FC7F9}" xr6:coauthVersionLast="47" xr6:coauthVersionMax="47" xr10:uidLastSave="{00000000-0000-0000-0000-000000000000}"/>
  <bookViews>
    <workbookView xWindow="-120" yWindow="-120" windowWidth="20730" windowHeight="11040" firstSheet="2" activeTab="10" xr2:uid="{00000000-000D-0000-FFFF-FFFF00000000}"/>
  </bookViews>
  <sheets>
    <sheet name="TO 1" sheetId="10" r:id="rId1"/>
    <sheet name="TO 2" sheetId="27" r:id="rId2"/>
    <sheet name="TO 3" sheetId="29" r:id="rId3"/>
    <sheet name="TO 4" sheetId="30" r:id="rId4"/>
    <sheet name="TO 5" sheetId="31" r:id="rId5"/>
    <sheet name="KU 1" sheetId="32" r:id="rId6"/>
    <sheet name="KU 2" sheetId="33" r:id="rId7"/>
    <sheet name="BU 1" sheetId="34" r:id="rId8"/>
    <sheet name="BU 2" sheetId="35" r:id="rId9"/>
    <sheet name="BlankoSertifikat" sheetId="6" r:id="rId10"/>
    <sheet name="Sertifikat" sheetId="7" r:id="rId11"/>
  </sheets>
  <definedNames>
    <definedName name="_xlnm.Print_Area" localSheetId="7">'BU 1'!$A$1:$V$63</definedName>
    <definedName name="_xlnm.Print_Area" localSheetId="8">'BU 2'!$A$1:$V$63</definedName>
    <definedName name="_xlnm.Print_Area" localSheetId="5">'KU 1'!$A$1:$V$63</definedName>
    <definedName name="_xlnm.Print_Area" localSheetId="6">'KU 2'!$A$1:$V$63</definedName>
    <definedName name="_xlnm.Print_Area" localSheetId="10">Sertifikat!$A$1:$I$53</definedName>
    <definedName name="_xlnm.Print_Area" localSheetId="0">'TO 1'!$A$1:$V$63</definedName>
    <definedName name="_xlnm.Print_Area" localSheetId="2">'TO 3'!$A$1:$V$63</definedName>
    <definedName name="_xlnm.Print_Area" localSheetId="3">'TO 4'!$A$1:$V$63</definedName>
    <definedName name="_xlnm.Print_Area" localSheetId="4">'TO 5'!$A$1:$V$63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7" l="1"/>
  <c r="C13" i="7"/>
  <c r="AQ3" i="7"/>
  <c r="AP3" i="7"/>
  <c r="AO3" i="7"/>
  <c r="AN3" i="7"/>
  <c r="AM3" i="7"/>
  <c r="AL3" i="7"/>
  <c r="AK3" i="7"/>
  <c r="AJ3" i="7"/>
  <c r="AI3" i="7"/>
  <c r="AH3" i="7"/>
  <c r="AG3" i="7"/>
  <c r="AF3" i="7"/>
  <c r="AE3" i="7"/>
  <c r="AD3" i="7"/>
  <c r="E39" i="7"/>
  <c r="AC3" i="7"/>
  <c r="AB3" i="7"/>
  <c r="AA3" i="7"/>
  <c r="Z3" i="7"/>
  <c r="Y3" i="7"/>
  <c r="X3" i="7"/>
  <c r="W3" i="7"/>
  <c r="V3" i="7"/>
  <c r="U3" i="7"/>
  <c r="D30" i="7"/>
  <c r="T3" i="7"/>
  <c r="D29" i="7"/>
  <c r="S3" i="7"/>
  <c r="C28" i="7"/>
  <c r="R3" i="7"/>
  <c r="Q3" i="7"/>
  <c r="P3" i="7"/>
  <c r="L3" i="7"/>
  <c r="E18" i="7"/>
  <c r="O3" i="7"/>
  <c r="G24" i="7"/>
  <c r="N3" i="7"/>
  <c r="G23" i="7"/>
  <c r="G18" i="7"/>
  <c r="I26" i="7"/>
  <c r="G26" i="7"/>
  <c r="E26" i="7"/>
  <c r="C26" i="7"/>
  <c r="H26" i="7"/>
  <c r="F26" i="7"/>
  <c r="D26" i="7"/>
  <c r="D24" i="7"/>
  <c r="D23" i="7"/>
  <c r="F23" i="7"/>
  <c r="E40" i="7"/>
  <c r="D40" i="7"/>
  <c r="F24" i="7"/>
  <c r="F25" i="7"/>
  <c r="H25" i="7"/>
  <c r="G25" i="7"/>
  <c r="I27" i="7"/>
  <c r="H27" i="7"/>
  <c r="G27" i="7"/>
  <c r="F27" i="7"/>
  <c r="D27" i="7"/>
  <c r="E27" i="7"/>
  <c r="C27" i="7"/>
  <c r="I29" i="7"/>
  <c r="H29" i="7"/>
  <c r="G29" i="7"/>
  <c r="F29" i="7"/>
  <c r="E29" i="7"/>
  <c r="C29" i="7"/>
  <c r="D33" i="7"/>
  <c r="I33" i="7"/>
  <c r="H33" i="7"/>
  <c r="G33" i="7"/>
  <c r="F33" i="7"/>
  <c r="E33" i="7"/>
  <c r="C33" i="7"/>
  <c r="I37" i="7"/>
  <c r="H37" i="7"/>
  <c r="G37" i="7"/>
  <c r="F37" i="7"/>
  <c r="E37" i="7"/>
  <c r="C37" i="7"/>
  <c r="D37" i="7"/>
  <c r="H28" i="7"/>
  <c r="E28" i="7"/>
  <c r="G28" i="7"/>
  <c r="F28" i="7"/>
  <c r="D28" i="7"/>
  <c r="H30" i="7"/>
  <c r="G30" i="7"/>
  <c r="I30" i="7"/>
  <c r="F30" i="7"/>
  <c r="E30" i="7"/>
  <c r="C30" i="7"/>
  <c r="H32" i="7"/>
  <c r="D32" i="7"/>
  <c r="G32" i="7"/>
  <c r="F32" i="7"/>
  <c r="E32" i="7"/>
  <c r="C32" i="7"/>
  <c r="I34" i="7"/>
  <c r="H34" i="7"/>
  <c r="C34" i="7"/>
  <c r="D34" i="7"/>
  <c r="G34" i="7"/>
  <c r="F34" i="7"/>
  <c r="E34" i="7"/>
  <c r="H36" i="7"/>
  <c r="G36" i="7"/>
  <c r="F36" i="7"/>
  <c r="D36" i="7"/>
  <c r="E36" i="7"/>
  <c r="C36" i="7"/>
  <c r="H38" i="7"/>
  <c r="D38" i="7"/>
  <c r="G38" i="7"/>
  <c r="F38" i="7"/>
  <c r="E38" i="7"/>
  <c r="C38" i="7"/>
  <c r="I40" i="7"/>
  <c r="H40" i="7"/>
  <c r="G40" i="7"/>
  <c r="F40" i="7"/>
  <c r="C40" i="7"/>
  <c r="I31" i="7"/>
  <c r="H31" i="7"/>
  <c r="G31" i="7"/>
  <c r="F31" i="7"/>
  <c r="E31" i="7"/>
  <c r="C31" i="7"/>
  <c r="D31" i="7"/>
  <c r="H35" i="7"/>
  <c r="G35" i="7"/>
  <c r="F35" i="7"/>
  <c r="E35" i="7"/>
  <c r="C35" i="7"/>
  <c r="D35" i="7"/>
  <c r="H39" i="7"/>
  <c r="G39" i="7"/>
  <c r="F39" i="7"/>
  <c r="C39" i="7"/>
  <c r="D39" i="7"/>
  <c r="M3" i="7"/>
  <c r="G22" i="7"/>
  <c r="A43" i="7" a="1"/>
  <c r="A43" i="7"/>
  <c r="F22" i="7"/>
  <c r="D22" i="7"/>
  <c r="I1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<sst xmlns="http://schemas.openxmlformats.org/spreadsheetml/2006/main" count="861" uniqueCount="671">
  <si>
    <t>NO</t>
  </si>
  <si>
    <t>NAMA</t>
  </si>
  <si>
    <t>IQ</t>
  </si>
  <si>
    <t>KEPRIBADIAN</t>
  </si>
  <si>
    <t>KINERJA</t>
  </si>
  <si>
    <t>L/P</t>
  </si>
  <si>
    <t xml:space="preserve"> REKAPITULASI HASIL ASSESMENT </t>
  </si>
  <si>
    <t>Keterangan :</t>
  </si>
  <si>
    <t>Kemampuan Umum/IQ</t>
  </si>
  <si>
    <t>Kecepatan Kerja</t>
  </si>
  <si>
    <t>Ketelitian Kerja</t>
  </si>
  <si>
    <t>Ketahanan Kerja</t>
  </si>
  <si>
    <t>Pengetahuan umum</t>
  </si>
  <si>
    <t>Analogi Verbal</t>
  </si>
  <si>
    <t>Berpikir Logis</t>
  </si>
  <si>
    <t>Berpikir Analog</t>
  </si>
  <si>
    <t>Ketepatan Persepsi</t>
  </si>
  <si>
    <t>Kejujuran</t>
  </si>
  <si>
    <t>KEMAMPUAN KHUSUS</t>
  </si>
  <si>
    <t>Diskriminasi-Generalisasi</t>
  </si>
  <si>
    <t>Persepsi Keruangan</t>
  </si>
  <si>
    <t>Penularan Hitungan</t>
  </si>
  <si>
    <t>Logika Berpikir</t>
  </si>
  <si>
    <t>Achievement</t>
  </si>
  <si>
    <t>Deference</t>
  </si>
  <si>
    <t>Order</t>
  </si>
  <si>
    <t>Exhibition</t>
  </si>
  <si>
    <t>Autonomy</t>
  </si>
  <si>
    <t>Affiliation</t>
  </si>
  <si>
    <t>Intraception</t>
  </si>
  <si>
    <t>Succorance</t>
  </si>
  <si>
    <t>Dominance</t>
  </si>
  <si>
    <t>Abasement</t>
  </si>
  <si>
    <t>Nurturance</t>
  </si>
  <si>
    <t>Change</t>
  </si>
  <si>
    <t>Endurance</t>
  </si>
  <si>
    <t>Heterosexuality</t>
  </si>
  <si>
    <t>Aggression</t>
  </si>
  <si>
    <t>Klasifikasi Inteligensi</t>
  </si>
  <si>
    <t>Klasifikasi</t>
  </si>
  <si>
    <t xml:space="preserve">   &gt;= 170</t>
  </si>
  <si>
    <t>Genius</t>
  </si>
  <si>
    <t>140 - 169</t>
  </si>
  <si>
    <t>Sangat Superior</t>
  </si>
  <si>
    <t>120 - 139</t>
  </si>
  <si>
    <t>Superior</t>
  </si>
  <si>
    <t>110 - 119</t>
  </si>
  <si>
    <t>Di atas rata - rata</t>
  </si>
  <si>
    <t xml:space="preserve">  90 - 109</t>
  </si>
  <si>
    <t>Rata - rata</t>
  </si>
  <si>
    <t xml:space="preserve">  80 - 89</t>
  </si>
  <si>
    <t>Di bawah rata - rata</t>
  </si>
  <si>
    <t xml:space="preserve">  70 - 79</t>
  </si>
  <si>
    <t>Borderline</t>
  </si>
  <si>
    <t xml:space="preserve">  30 - 69</t>
  </si>
  <si>
    <t>Defektif secara mental</t>
  </si>
  <si>
    <t xml:space="preserve">   &lt;= 29</t>
  </si>
  <si>
    <t>Tidak terklasifikasi</t>
  </si>
  <si>
    <t>Klasifikasi Bakat Khusus</t>
  </si>
  <si>
    <t>Prosentil</t>
  </si>
  <si>
    <t>Poin</t>
  </si>
  <si>
    <t>75 - 100</t>
  </si>
  <si>
    <t>Bakat Tinggi</t>
  </si>
  <si>
    <t>50 -  74</t>
  </si>
  <si>
    <t>Bakat Sedang</t>
  </si>
  <si>
    <t xml:space="preserve"> 1 -  49</t>
  </si>
  <si>
    <t>Bakat Rendah</t>
  </si>
  <si>
    <t>Semarang, 30 September 2016</t>
  </si>
  <si>
    <t>Tester,</t>
  </si>
  <si>
    <t>Drs Tri Leksono Ph, S.Kom, M.Pd, Kons</t>
  </si>
  <si>
    <t xml:space="preserve"> </t>
  </si>
  <si>
    <t>ASPEK YANG DIUNGKAP</t>
  </si>
  <si>
    <t>KLASIFIKASI</t>
  </si>
  <si>
    <t>RS</t>
  </si>
  <si>
    <t>R</t>
  </si>
  <si>
    <t>AR</t>
  </si>
  <si>
    <t>S</t>
  </si>
  <si>
    <t>CT</t>
  </si>
  <si>
    <t>T</t>
  </si>
  <si>
    <t>TS</t>
  </si>
  <si>
    <t>HASIL TES PSIKOLOGI</t>
  </si>
  <si>
    <t>Drs, Tri Leksono.Ph, S.Kom, M.Pd,. Kons</t>
  </si>
  <si>
    <t>Konselor/Pemegang lisensi</t>
  </si>
  <si>
    <t>KECEPATAN KERJA</t>
  </si>
  <si>
    <t>KETELITIAN KERJA</t>
  </si>
  <si>
    <t>KETAHANAN KERJA</t>
  </si>
  <si>
    <t>Tanggal Tes</t>
  </si>
  <si>
    <t>No</t>
  </si>
  <si>
    <t xml:space="preserve">KEPRIBADIAN </t>
  </si>
  <si>
    <t>ü</t>
  </si>
  <si>
    <t>Jenis Tes</t>
  </si>
  <si>
    <t>CFIT</t>
  </si>
  <si>
    <t>:</t>
  </si>
  <si>
    <t xml:space="preserve">Nama    </t>
  </si>
  <si>
    <t xml:space="preserve">Kelas      </t>
  </si>
  <si>
    <t xml:space="preserve">Intelegence </t>
  </si>
  <si>
    <t xml:space="preserve">Sekolah             </t>
  </si>
  <si>
    <t>Simbol</t>
  </si>
  <si>
    <t xml:space="preserve">kecenderungan ketelitian kerja cukup tinggi, </t>
  </si>
  <si>
    <t xml:space="preserve">kecenderungan ketelitian kerja sedang, </t>
  </si>
  <si>
    <t xml:space="preserve">kecenderungan ketelitian kerja rendah, </t>
  </si>
  <si>
    <t xml:space="preserve">kecenderungan  ketahanan kerja cukup tinggi, </t>
  </si>
  <si>
    <t xml:space="preserve">kecenderungan  ketahanan kerja sedang, </t>
  </si>
  <si>
    <t xml:space="preserve">kecenderungan ketahanan kerja rendah, </t>
  </si>
  <si>
    <t>KEJUJURAN</t>
  </si>
  <si>
    <t>PENGETAHUAN UMUM/ kemampuan untuk memahami dan menganalisa masalah cukup baik</t>
  </si>
  <si>
    <t>ANALOGI VERBAL/ kemampuan memahami masalah yang bersifat pernyataan bahasa cukup baik (3)</t>
  </si>
  <si>
    <t>BERPIKIR ANALOG/  kemampuan untuk memahami dan menganalisa masalah cukup baik (3)</t>
  </si>
  <si>
    <t>BERPIKIR LOGIS/ /  kemampuan untuk memahami dan menganalisa masalah cukup baik (3)</t>
  </si>
  <si>
    <t>DISKRIMINASI-GENERALISASI/ kemampuan untuk memahami masalah yang berkaitan dengan mesin dan alat-alat teknik cukup baik (6)</t>
  </si>
  <si>
    <t>PERSEPSI KERUANGAN/ kemampuan untuk mengimajinasikan bentuk tiga dimensi cukup baik (7)</t>
  </si>
  <si>
    <t>KETEPATAN PERSEPSI/ kemampuan untuk mengelola dan menyelesaikan masalah yang berkaitan dengan bidang teknik cukup baik (8)</t>
  </si>
  <si>
    <t>PENALARAN HITUNGAN/ kemampuan untuk menyelesaikan yang berkaitan dengan hitungan cukup baik (9 &amp; 10)</t>
  </si>
  <si>
    <t>LOGIKA BERPIKIR/ kemampuan untuk menyelesaikan yang berkaitan dengan hitungan cukup baik (9 &amp; 10)</t>
  </si>
  <si>
    <t>1. Intlegen</t>
  </si>
  <si>
    <t>2. kinerja</t>
  </si>
  <si>
    <t>3. KEJUJURAN</t>
  </si>
  <si>
    <t>6.BAKUM</t>
  </si>
  <si>
    <t xml:space="preserve">kecenderungan kecepatan kerja cukup tinggi, </t>
  </si>
  <si>
    <t>(80</t>
  </si>
  <si>
    <t xml:space="preserve">kecenderungan kecepatan kerja sedang, </t>
  </si>
  <si>
    <t>(65-79)</t>
  </si>
  <si>
    <t xml:space="preserve">kecenderungan kecepatan kerja rendah, </t>
  </si>
  <si>
    <t>(35-64)</t>
  </si>
  <si>
    <t xml:space="preserve">Ananda memiliki kecerdasan superior (123), </t>
  </si>
  <si>
    <t xml:space="preserve">Ananda memiliki kecerdasan superior (130), </t>
  </si>
  <si>
    <t xml:space="preserve">Ananda memiliki kecerdasan superior (125), </t>
  </si>
  <si>
    <t>(14-15)</t>
  </si>
  <si>
    <t>(12-13)</t>
  </si>
  <si>
    <t>(9-11)</t>
  </si>
  <si>
    <t xml:space="preserve">Ananda memiliki kejujuran tinggi, </t>
  </si>
  <si>
    <t xml:space="preserve">Ananda memiliki kejujuran cukup tinggi, </t>
  </si>
  <si>
    <t xml:space="preserve">Ananda memiliki kejujuran sedang, </t>
  </si>
  <si>
    <t xml:space="preserve">Range </t>
  </si>
  <si>
    <t>26 - 28</t>
  </si>
  <si>
    <t>22 - 25</t>
  </si>
  <si>
    <t>19 - 21</t>
  </si>
  <si>
    <t>15 - 18</t>
  </si>
  <si>
    <t>12 - 14</t>
  </si>
  <si>
    <t>0 - 7</t>
  </si>
  <si>
    <t>8 - 11</t>
  </si>
  <si>
    <t>Keterangan</t>
  </si>
  <si>
    <t>2. Aspek DEF</t>
  </si>
  <si>
    <t>3. Aspek ORD</t>
  </si>
  <si>
    <t>4. Aspek EXH</t>
  </si>
  <si>
    <t>5. Aspek AUT</t>
  </si>
  <si>
    <t>6. Aspek AFF</t>
  </si>
  <si>
    <t>7. Aspek INT</t>
  </si>
  <si>
    <t>8. Aspek SUC</t>
  </si>
  <si>
    <t>9. Aspek DOM</t>
  </si>
  <si>
    <t>10. Aspek ABA</t>
  </si>
  <si>
    <t>11. Aspek NUR</t>
  </si>
  <si>
    <t>12. Aspek CHG</t>
  </si>
  <si>
    <t>13. Aspek END</t>
  </si>
  <si>
    <t>14. Aspek HET</t>
  </si>
  <si>
    <t>15. Aspek AGG</t>
  </si>
  <si>
    <t>8 - 10</t>
  </si>
  <si>
    <t>11 - 13</t>
  </si>
  <si>
    <t>14 - 16</t>
  </si>
  <si>
    <t>17 - 20</t>
  </si>
  <si>
    <t>21 - 23</t>
  </si>
  <si>
    <t>24 - 26</t>
  </si>
  <si>
    <t>0 - 4</t>
  </si>
  <si>
    <t>5 - 9</t>
  </si>
  <si>
    <t>10 - 14</t>
  </si>
  <si>
    <t>15 - 19</t>
  </si>
  <si>
    <t>20 - 24</t>
  </si>
  <si>
    <t>25 - 28</t>
  </si>
  <si>
    <t>0 - 3</t>
  </si>
  <si>
    <t>4 - 7</t>
  </si>
  <si>
    <t>8-10</t>
  </si>
  <si>
    <t>14-16</t>
  </si>
  <si>
    <t>0 - 2</t>
  </si>
  <si>
    <t>3 - 5</t>
  </si>
  <si>
    <t>13-15</t>
  </si>
  <si>
    <t>16-19</t>
  </si>
  <si>
    <t>3-6</t>
  </si>
  <si>
    <t>7-10</t>
  </si>
  <si>
    <t>15-19</t>
  </si>
  <si>
    <t>23-25</t>
  </si>
  <si>
    <t>19-22</t>
  </si>
  <si>
    <t>14-18</t>
  </si>
  <si>
    <t>5-9</t>
  </si>
  <si>
    <t>10-13</t>
  </si>
  <si>
    <t>19 - 22</t>
  </si>
  <si>
    <t>23-28</t>
  </si>
  <si>
    <t>1-3</t>
  </si>
  <si>
    <t>4-7</t>
  </si>
  <si>
    <t>16-18</t>
  </si>
  <si>
    <t>0 -5</t>
  </si>
  <si>
    <t>6-10</t>
  </si>
  <si>
    <t>11-14</t>
  </si>
  <si>
    <t>27-28</t>
  </si>
  <si>
    <t>0 - 6</t>
  </si>
  <si>
    <t>7 - 11</t>
  </si>
  <si>
    <t>12 - 16</t>
  </si>
  <si>
    <t>17-20</t>
  </si>
  <si>
    <t>21-25</t>
  </si>
  <si>
    <t>13-16</t>
  </si>
  <si>
    <t>8-11</t>
  </si>
  <si>
    <t>20-23</t>
  </si>
  <si>
    <t>24-27</t>
  </si>
  <si>
    <t>0 -9</t>
  </si>
  <si>
    <t>23-26</t>
  </si>
  <si>
    <t>0-0</t>
  </si>
  <si>
    <t>1-1</t>
  </si>
  <si>
    <t>2-6</t>
  </si>
  <si>
    <t>18-22</t>
  </si>
  <si>
    <t>17-25</t>
  </si>
  <si>
    <t>1. Aspek  PU</t>
  </si>
  <si>
    <t>2. Aspek  AV</t>
  </si>
  <si>
    <t>18-29</t>
  </si>
  <si>
    <t>3. Aspek  BA</t>
  </si>
  <si>
    <t>4. Aspek  BL</t>
  </si>
  <si>
    <t>5. Aspek  DG</t>
  </si>
  <si>
    <t>6. Aspek  PK</t>
  </si>
  <si>
    <t>8. Aspek  PH</t>
  </si>
  <si>
    <t>45-60</t>
  </si>
  <si>
    <t>7. Aspek  KP</t>
  </si>
  <si>
    <t>9. Aspek  LB</t>
  </si>
  <si>
    <t xml:space="preserve"> Aspek  DI BAWAH RATA-RATA</t>
  </si>
  <si>
    <t>80-89</t>
  </si>
  <si>
    <t xml:space="preserve"> Aspek  KEMAMPUAN KHUSUS</t>
  </si>
  <si>
    <t>6-9</t>
  </si>
  <si>
    <t>10-12</t>
  </si>
  <si>
    <t>12-15</t>
  </si>
  <si>
    <t>15-18</t>
  </si>
  <si>
    <t>19-21</t>
  </si>
  <si>
    <t>22-26</t>
  </si>
  <si>
    <t>8 -12</t>
  </si>
  <si>
    <t>7-11</t>
  </si>
  <si>
    <t>12-17</t>
  </si>
  <si>
    <t>12-16</t>
  </si>
  <si>
    <t>10-15</t>
  </si>
  <si>
    <t>12-18</t>
  </si>
  <si>
    <t>8-15</t>
  </si>
  <si>
    <t>9-15</t>
  </si>
  <si>
    <t xml:space="preserve">kemampuan untuk memahami dan menganalisa masalah cukup baik, </t>
  </si>
  <si>
    <t xml:space="preserve">kemampuan memahami masalah yang bersifat pernyataan bahasa cukup baik, </t>
  </si>
  <si>
    <t xml:space="preserve"> kemampuan untuk memahami masalah yang berkaitan dengan mesin dan alat-alat teknik cukup baik, </t>
  </si>
  <si>
    <t xml:space="preserve">kemampuan untuk mengimajinasikan bentuk tiga dimensi cukup baik, </t>
  </si>
  <si>
    <t xml:space="preserve">kemampuan untuk menyelesaikan yang berkaitan dengan hitungan cukup baik, </t>
  </si>
  <si>
    <t>kemampuan untuk mengelola dan menyelesaikan masalah yang berkaitan dengan bidang teknik cukup baik,</t>
  </si>
  <si>
    <t>kemampuan  khusus tidak ada yang menonjol.</t>
  </si>
  <si>
    <t>90-130</t>
  </si>
  <si>
    <t>Aspek Kemampuan Khusus</t>
  </si>
  <si>
    <t xml:space="preserve">Ananda perlu pendampingan untuk dapat melanjutkan kejenjang yang lebih tinggi. </t>
  </si>
  <si>
    <t xml:space="preserve"> Ananda dapat melanjutkan kejenjang yang lebih tinggi. </t>
  </si>
  <si>
    <t xml:space="preserve">Ananda memiliki kecerdasan di atas rata-rata (119), </t>
  </si>
  <si>
    <t xml:space="preserve">Ananda memiliki kecerdasan di atas rata-rata (115), </t>
  </si>
  <si>
    <t xml:space="preserve">Ananda memiliki kecerdasan di atas rata-rata (110), </t>
  </si>
  <si>
    <t xml:space="preserve">Ananda memiliki kecerdasan rata-rata (109), </t>
  </si>
  <si>
    <t xml:space="preserve">Ananda memiliki kecerdasan rata-rata (105), </t>
  </si>
  <si>
    <t xml:space="preserve">Ananda memiliki kecerdasan rata-rata (90), </t>
  </si>
  <si>
    <t xml:space="preserve">Ananda memiliki kecerdasan di bawah rata-rata (89), </t>
  </si>
  <si>
    <t xml:space="preserve">Ananda memiliki kecerdasan di bawah rata-rata (85), </t>
  </si>
  <si>
    <t xml:space="preserve">Ananda memiliki kecerdasan di bawah rata-rata (80), </t>
  </si>
  <si>
    <t>1. Aspek Achievement</t>
  </si>
  <si>
    <t xml:space="preserve">Achievement tinggi sekali, </t>
  </si>
  <si>
    <t xml:space="preserve">Achievement sedang, </t>
  </si>
  <si>
    <t xml:space="preserve">Achievement tinggi, </t>
  </si>
  <si>
    <t xml:space="preserve">Achievement cukup tinggi, </t>
  </si>
  <si>
    <t xml:space="preserve">Achievement amat rendah, </t>
  </si>
  <si>
    <t xml:space="preserve">Achievement rendah, </t>
  </si>
  <si>
    <t xml:space="preserve">Achievement rendah sekali, </t>
  </si>
  <si>
    <t>ACHIEVEMENT</t>
  </si>
  <si>
    <t xml:space="preserve">Deference tinggi sekali, </t>
  </si>
  <si>
    <t xml:space="preserve">Deference tinggi, </t>
  </si>
  <si>
    <t xml:space="preserve">Deference cukup tinggi, </t>
  </si>
  <si>
    <t xml:space="preserve">Deference sedang, </t>
  </si>
  <si>
    <t xml:space="preserve">Deference amat rendah, </t>
  </si>
  <si>
    <t xml:space="preserve">Deference rendah, </t>
  </si>
  <si>
    <t xml:space="preserve">Deference rendah sekali, </t>
  </si>
  <si>
    <t>DEFERENCE</t>
  </si>
  <si>
    <t xml:space="preserve">Order tinggi sekali, </t>
  </si>
  <si>
    <t xml:space="preserve">Order tinggi, </t>
  </si>
  <si>
    <t xml:space="preserve">Order cukup tinggi, </t>
  </si>
  <si>
    <t xml:space="preserve">Order sedang, </t>
  </si>
  <si>
    <t xml:space="preserve">Order amat rendah, </t>
  </si>
  <si>
    <t xml:space="preserve">Order rendah, </t>
  </si>
  <si>
    <t xml:space="preserve">Order rendah sekali, </t>
  </si>
  <si>
    <t>ORDER</t>
  </si>
  <si>
    <t xml:space="preserve">Exhibition tinggi sekali, </t>
  </si>
  <si>
    <t xml:space="preserve">Exhibition tinggi, </t>
  </si>
  <si>
    <t xml:space="preserve">Exhibition cukup tinggi, </t>
  </si>
  <si>
    <t xml:space="preserve">Exhibition sedang, </t>
  </si>
  <si>
    <t xml:space="preserve">Exhibition amat rendah, </t>
  </si>
  <si>
    <t xml:space="preserve">Exhibition rendah, </t>
  </si>
  <si>
    <t xml:space="preserve">Exhibition rendah sekali, </t>
  </si>
  <si>
    <t>EXHIBITION</t>
  </si>
  <si>
    <t xml:space="preserve">Autonomy tinggi sekali, </t>
  </si>
  <si>
    <t xml:space="preserve">Autonomy tinggi, </t>
  </si>
  <si>
    <t xml:space="preserve">Autonomy cukup tinggi, </t>
  </si>
  <si>
    <t xml:space="preserve">Autonomy sedang, </t>
  </si>
  <si>
    <t xml:space="preserve">Aautonomy amat rendah, </t>
  </si>
  <si>
    <t xml:space="preserve">Autonomy rendah, </t>
  </si>
  <si>
    <t xml:space="preserve">Autonomy rendah sekali, </t>
  </si>
  <si>
    <t>AUTONOMY</t>
  </si>
  <si>
    <t xml:space="preserve">Affiliation tinggi sekali, </t>
  </si>
  <si>
    <t xml:space="preserve">Affiliation tinggi, </t>
  </si>
  <si>
    <t xml:space="preserve">Affiliation cukup tinggi, </t>
  </si>
  <si>
    <t xml:space="preserve">Affiliation sedang, </t>
  </si>
  <si>
    <t xml:space="preserve">Affiliation amat rendah, </t>
  </si>
  <si>
    <t xml:space="preserve">Affiliation rendah, </t>
  </si>
  <si>
    <t xml:space="preserve">Affiliation rendah sekali, </t>
  </si>
  <si>
    <t>AFFILIATION</t>
  </si>
  <si>
    <t xml:space="preserve">Intraception tinggi sekali, </t>
  </si>
  <si>
    <t xml:space="preserve">Intraception tinggi, </t>
  </si>
  <si>
    <t xml:space="preserve">Intraception cukup tinggi, </t>
  </si>
  <si>
    <t xml:space="preserve">Intraception sedang, </t>
  </si>
  <si>
    <t xml:space="preserve">Intraception amat rendah, </t>
  </si>
  <si>
    <t xml:space="preserve">Intraception rendah, </t>
  </si>
  <si>
    <t xml:space="preserve">Intraception rendah sekali, </t>
  </si>
  <si>
    <t>INTRACEPTION</t>
  </si>
  <si>
    <t xml:space="preserve">Succorance tinggi sekali, </t>
  </si>
  <si>
    <t xml:space="preserve">Succorance tinggi, </t>
  </si>
  <si>
    <t xml:space="preserve">Succorance cukup tinggi, </t>
  </si>
  <si>
    <t xml:space="preserve">Succorance sedang, </t>
  </si>
  <si>
    <t xml:space="preserve">Succorance amat rendah, </t>
  </si>
  <si>
    <t xml:space="preserve">Succorance rendah, </t>
  </si>
  <si>
    <t xml:space="preserve">Succorance rendah sekali, </t>
  </si>
  <si>
    <t>SUCCORANCE</t>
  </si>
  <si>
    <t xml:space="preserve">Dominance tinggi sekali, </t>
  </si>
  <si>
    <t xml:space="preserve">Dominance tinggi, </t>
  </si>
  <si>
    <t xml:space="preserve">Dominance cukup tinggi, </t>
  </si>
  <si>
    <t xml:space="preserve">Dominance sedang, </t>
  </si>
  <si>
    <t xml:space="preserve">Dominance amat rendah, </t>
  </si>
  <si>
    <t xml:space="preserve">Dominance rendah, </t>
  </si>
  <si>
    <t xml:space="preserve">Dominance rendah sekali, </t>
  </si>
  <si>
    <t>DOMINANCE</t>
  </si>
  <si>
    <t xml:space="preserve">Abasement tinggi sekali, </t>
  </si>
  <si>
    <t xml:space="preserve">Abasement tinggi, </t>
  </si>
  <si>
    <t xml:space="preserve">Abasement cukup tinggi, </t>
  </si>
  <si>
    <t xml:space="preserve">Abasement sedang, </t>
  </si>
  <si>
    <t xml:space="preserve">Abasement amat rendah, </t>
  </si>
  <si>
    <t xml:space="preserve">Abasement rendah, </t>
  </si>
  <si>
    <t xml:space="preserve">Abasement rendah sekali, </t>
  </si>
  <si>
    <t>ABASEMENT</t>
  </si>
  <si>
    <t xml:space="preserve">Nurturance tinggi sekali, </t>
  </si>
  <si>
    <t xml:space="preserve">Nurturance tinggi, </t>
  </si>
  <si>
    <t xml:space="preserve">Nurturance cukup tinggi, </t>
  </si>
  <si>
    <t xml:space="preserve">Nurturance sedang, </t>
  </si>
  <si>
    <t xml:space="preserve">Nurturance amat rendah, </t>
  </si>
  <si>
    <t xml:space="preserve">Nurturance rendah, </t>
  </si>
  <si>
    <t xml:space="preserve">Nurturance rendah sekali, </t>
  </si>
  <si>
    <t>NURTURANCE</t>
  </si>
  <si>
    <t xml:space="preserve">Change tinggi sekali, </t>
  </si>
  <si>
    <t xml:space="preserve">Change tinggi, </t>
  </si>
  <si>
    <t xml:space="preserve">Change cukup tinggi, </t>
  </si>
  <si>
    <t xml:space="preserve">Change sedang, </t>
  </si>
  <si>
    <t xml:space="preserve">Change amat rendah, </t>
  </si>
  <si>
    <t xml:space="preserve">Change rendah, </t>
  </si>
  <si>
    <t xml:space="preserve">Change rendah sekali,  </t>
  </si>
  <si>
    <t>CHANGE</t>
  </si>
  <si>
    <t xml:space="preserve">Endurance tinggi sekali, </t>
  </si>
  <si>
    <t xml:space="preserve">Endurance tinggi, </t>
  </si>
  <si>
    <t xml:space="preserve">Endurance cukup tinggi, </t>
  </si>
  <si>
    <t xml:space="preserve">Endurance sedang, </t>
  </si>
  <si>
    <t xml:space="preserve">Endurance amat rendah, </t>
  </si>
  <si>
    <t xml:space="preserve">Endurance rendah, </t>
  </si>
  <si>
    <t xml:space="preserve">Endurance rendah sekali, </t>
  </si>
  <si>
    <t>ENDURANCE</t>
  </si>
  <si>
    <t xml:space="preserve">Heterosexuality tinggi sekali, </t>
  </si>
  <si>
    <t xml:space="preserve">Heterosexuality tinggi, </t>
  </si>
  <si>
    <t xml:space="preserve">Heterosexuality cukup tinggi, </t>
  </si>
  <si>
    <t xml:space="preserve">Heterosexuality sedang, </t>
  </si>
  <si>
    <t xml:space="preserve">Heterosexuality amat rendah, </t>
  </si>
  <si>
    <t xml:space="preserve">Heterosexuality rendah, </t>
  </si>
  <si>
    <t xml:space="preserve">Heterosexuality rendah sekali, </t>
  </si>
  <si>
    <t>HETEROSEXUALITY</t>
  </si>
  <si>
    <t>Aggression tinggi sekali.</t>
  </si>
  <si>
    <t>Aggression tinggi.</t>
  </si>
  <si>
    <t>Aggression cukup tinggi.</t>
  </si>
  <si>
    <t>Aggression sedang.</t>
  </si>
  <si>
    <t>Aggression amat rendah.</t>
  </si>
  <si>
    <t>Aggression rendah.</t>
  </si>
  <si>
    <t>Aggression rendah sekali.</t>
  </si>
  <si>
    <t>AGGRESSION</t>
  </si>
  <si>
    <t>Semarang, 26 Desember 2023</t>
  </si>
  <si>
    <t>NAMA LENGKAP</t>
  </si>
  <si>
    <t>EPPS</t>
  </si>
  <si>
    <t>DINA MAULA ASIFA</t>
  </si>
  <si>
    <t>ERLINA</t>
  </si>
  <si>
    <t>HERSA  FEMAS ARIS YULIANTO</t>
  </si>
  <si>
    <t>M. KHOIRUL ZAKI</t>
  </si>
  <si>
    <t>SURYA WIRAANGGA</t>
  </si>
  <si>
    <t>AHMAD FARIZQI RIDWAN</t>
  </si>
  <si>
    <t>AHMAD IDRIS SIREGAR</t>
  </si>
  <si>
    <t>AHMAD IRFAN</t>
  </si>
  <si>
    <t>ALIF BUDI FIRMANSYAH</t>
  </si>
  <si>
    <t>AURA IDRIS AL QODRI</t>
  </si>
  <si>
    <t>BAYU SAPUTRA</t>
  </si>
  <si>
    <t>BIMBIM OCTA RAMADHANI</t>
  </si>
  <si>
    <t>DAVIN AHMAD CHOIRUL YAQIN</t>
  </si>
  <si>
    <t>ERNEST GERALDINE ARIANCA MAULANA</t>
  </si>
  <si>
    <t>FARIS NAUFAL NURDIANSYAH</t>
  </si>
  <si>
    <t>HAIKAL ABDUL GHOFUR</t>
  </si>
  <si>
    <t>IKMAL MU'IN</t>
  </si>
  <si>
    <t>M. FAIZ MAULANA HAKIM</t>
  </si>
  <si>
    <t>M. FARIDUN NI'AM</t>
  </si>
  <si>
    <t>M. HUMAIDULLOH IRFAN</t>
  </si>
  <si>
    <t>M. SAHRIEL SAPUTRA</t>
  </si>
  <si>
    <t>M. WILDAN MUBAROK</t>
  </si>
  <si>
    <t>MARTHA RIVAN ALFARIZ</t>
  </si>
  <si>
    <t>MOHAMAD ALFARIJI</t>
  </si>
  <si>
    <t>MUH. ILHAM FEBRIANSYAH</t>
  </si>
  <si>
    <t>MUHAMAD ALYAMARI</t>
  </si>
  <si>
    <t>MUHAMMAD AFFAN FANNANI</t>
  </si>
  <si>
    <t>MUHAMMAD BAGUS TRIWARSITO</t>
  </si>
  <si>
    <t>MUHAMMAD DZAKY HAIDAR DAFFA</t>
  </si>
  <si>
    <t>MUHAMMAD HANIFIL ANAM</t>
  </si>
  <si>
    <t>MUHAMMAD IRZAM FAIRUS SAPUTRA</t>
  </si>
  <si>
    <t>MUHAMMAD RIFQI WIDIANTO</t>
  </si>
  <si>
    <t>MUHAMMAD SEPTIANO RIZKY RAMADHAN</t>
  </si>
  <si>
    <t>MUKHAMMAD ADIB</t>
  </si>
  <si>
    <t>RYAN HIDAYAT</t>
  </si>
  <si>
    <t>YUDA BAGUS</t>
  </si>
  <si>
    <t>K35AEPLIN</t>
  </si>
  <si>
    <t>EPP65</t>
  </si>
  <si>
    <t>SMK AL MUSYAFFA' - KABUPATEN KENDAL</t>
  </si>
  <si>
    <t xml:space="preserve">REKAPITULASI HASIL ASSESMENT </t>
  </si>
  <si>
    <t>SMK AL MUSYAFFA' KENDAL</t>
  </si>
  <si>
    <t>KELAS X TO 1</t>
  </si>
  <si>
    <t>X TO 1</t>
  </si>
  <si>
    <t>ADIT AIMANUN KHAK</t>
  </si>
  <si>
    <t>AGUSTI RAMADANI</t>
  </si>
  <si>
    <t>AHMAD FAIZ MUIZZUDDIN</t>
  </si>
  <si>
    <t>AJI SETYA BUDI</t>
  </si>
  <si>
    <t>ALAN TAUFIQUROHCMAN</t>
  </si>
  <si>
    <t>ALVIN HIDAYAT</t>
  </si>
  <si>
    <t>BAA'ITS IBRAHIM ALRINAL</t>
  </si>
  <si>
    <t>DIMAS FAHRI SAIFULLOH</t>
  </si>
  <si>
    <t>FAIQ SIDQI MUAMAR</t>
  </si>
  <si>
    <t>FAJAR TRESNO ZULIANTO</t>
  </si>
  <si>
    <t>IDRIS KHOIRUL KHAFIDZ</t>
  </si>
  <si>
    <t>KEINZA HUMAM AL BASTOMI</t>
  </si>
  <si>
    <t>M. FAHRUL FA RIZQI</t>
  </si>
  <si>
    <t>M. FAIZ NAFIUDDIN</t>
  </si>
  <si>
    <t>M. FARIS ZULFA NUR</t>
  </si>
  <si>
    <t>M. NAUFAL IHYA'ULUMUDDIN</t>
  </si>
  <si>
    <t>MAULANA IZZUL HAQQ</t>
  </si>
  <si>
    <t>MAXI MUSSIYAM ARJU BARAKA</t>
  </si>
  <si>
    <t>MOH FAIZ AL KHUSNI</t>
  </si>
  <si>
    <t>MU'AMAR ALVIN HAZIZUL ULUM</t>
  </si>
  <si>
    <t>MUHAMAD AGUS YUSUF</t>
  </si>
  <si>
    <t>MUHAMAD WAHYU AFIF MUTHOLIBIN</t>
  </si>
  <si>
    <t>MUHAMMAD ARROFI</t>
  </si>
  <si>
    <t>MUHAMMAD DANIS FIRMAN HIDAYAT</t>
  </si>
  <si>
    <t>MUHAMMAD FAHRI KHASANUDIN</t>
  </si>
  <si>
    <t>MUHAMMAD FIRDAUS AL'FATAH</t>
  </si>
  <si>
    <t>MUHAMMAD HADIDUL AHDA</t>
  </si>
  <si>
    <t>MUHAMMAD ILHAM HAQIQI</t>
  </si>
  <si>
    <t>MUHAMMAD KHIRZA HUDUDIL MAULA</t>
  </si>
  <si>
    <t>MUHAMMAD RISWAN HANAFI</t>
  </si>
  <si>
    <t>MUHAMMAD WAHYU WILDANA</t>
  </si>
  <si>
    <t>RIZQI ALFAN MUBAROK</t>
  </si>
  <si>
    <t>SYAFA'AT KHOIRUL ANAS</t>
  </si>
  <si>
    <t>ABDULLOH</t>
  </si>
  <si>
    <t>AKHMAD SOBIRIN</t>
  </si>
  <si>
    <t>ARRUNA VINO RAVALIAN</t>
  </si>
  <si>
    <t>BRILLIAN KEVIN NUGROHO</t>
  </si>
  <si>
    <t>DANU DWI KURNIANSYAH</t>
  </si>
  <si>
    <t>EKA PRANDI ADINATA</t>
  </si>
  <si>
    <t>FERDIANSYAH RADITYA ELROSI</t>
  </si>
  <si>
    <t>HAFIZH RAIHAN</t>
  </si>
  <si>
    <t>IKFI NIAM ALMUNA</t>
  </si>
  <si>
    <t>LUVI BAGUS PRASETIO</t>
  </si>
  <si>
    <t>M. NAZILURRIZQI</t>
  </si>
  <si>
    <t>MANAHILUL URFAN</t>
  </si>
  <si>
    <t>MOHAMMAD ZIDNI FAWAID</t>
  </si>
  <si>
    <t>MUHAMAD ALFAN FAIZ WAFI</t>
  </si>
  <si>
    <t>MUHAMAD ILHAM</t>
  </si>
  <si>
    <t>MUHAMMAD ALFAIN AUTAMA</t>
  </si>
  <si>
    <t>MUHAMMAD DIVI LUKMANSYAH</t>
  </si>
  <si>
    <t>MUHAMMAD FARIZ SOLIH AL AZIZI</t>
  </si>
  <si>
    <t>MUHAMMAD IQBALU WAFA</t>
  </si>
  <si>
    <t>MUHAMMAD IRFAN SYARIF</t>
  </si>
  <si>
    <t>MUHAMMAD KUSUMA SYIFA</t>
  </si>
  <si>
    <t>MUHAMMAD MUNTAJJ ALI YUZZAKI</t>
  </si>
  <si>
    <t>MUHAMMAD RYAN TAUFIQ</t>
  </si>
  <si>
    <t>NOVIAN ADHITIYA</t>
  </si>
  <si>
    <t>RAFA ADRIAN PRATAMA</t>
  </si>
  <si>
    <t>RAJWA DHIYA'UL HAQ</t>
  </si>
  <si>
    <t>ADITYA EKA NUR AKBAR</t>
  </si>
  <si>
    <t>ARI WIBOWO</t>
  </si>
  <si>
    <t>AZMI ULI SYIFA</t>
  </si>
  <si>
    <t>BRIYAN ANTONIO FIRIN</t>
  </si>
  <si>
    <t>DESTIAN ARRASYID</t>
  </si>
  <si>
    <t>FAHMI KAUTSAR</t>
  </si>
  <si>
    <t>HARUN MAULANA</t>
  </si>
  <si>
    <t>LINTANG WAHYU SAPUTRA</t>
  </si>
  <si>
    <t>M AFFAN ANDHIKA RAMA DHANI</t>
  </si>
  <si>
    <t>M. IBROHIM AKBAR</t>
  </si>
  <si>
    <t>MUAKHIRU YUSUF ASHARI</t>
  </si>
  <si>
    <t>MUHAMAD FAHIM DAROINI</t>
  </si>
  <si>
    <t>MUHAMAD ZAQI</t>
  </si>
  <si>
    <t>MUHAMMAD ARBAH IZZA TULHAQ</t>
  </si>
  <si>
    <t>MUHAMMAD FAIRUS IRSYADUZZAIDAN</t>
  </si>
  <si>
    <t>MUHAMMAD FATKHUR ROZAQ</t>
  </si>
  <si>
    <t>MUHAMMAD HAFIZH ATHA</t>
  </si>
  <si>
    <t>MUHAMMAD IBNU SHOLEH</t>
  </si>
  <si>
    <t>MUHAMMAD IZZA FASYA</t>
  </si>
  <si>
    <t>MUHAMMAD LABIB FAZA</t>
  </si>
  <si>
    <t>MUHAMMAD REVA AKBAR ANIFUDIN</t>
  </si>
  <si>
    <t>MUHAMMAD WILDAN ALFIYANNUR</t>
  </si>
  <si>
    <t>NAUVAL MAULANA</t>
  </si>
  <si>
    <t>NOVAL ERLANDA FRAMUDIA</t>
  </si>
  <si>
    <t>OASE MUHAMMAD RIZKY</t>
  </si>
  <si>
    <t>RAFIF ABIYYU RAHMAN</t>
  </si>
  <si>
    <t>RIZEQ ZANUAR RIFQI</t>
  </si>
  <si>
    <t>SYAFA'AT ABDUL GHOFUR</t>
  </si>
  <si>
    <t>ZAIDAN KHAFIDZ KHAMANI</t>
  </si>
  <si>
    <t>AFZAN BUNAYA</t>
  </si>
  <si>
    <t>AHMAD JAZURI</t>
  </si>
  <si>
    <t>ARIF SYAH PUTRADEWA</t>
  </si>
  <si>
    <t>DAFFA ARDIAN MAULANA</t>
  </si>
  <si>
    <t>DIMAS MAULANA</t>
  </si>
  <si>
    <t>FARHAN ADITYA RIVALDO</t>
  </si>
  <si>
    <t>GALANG FATIH ALFARIZA</t>
  </si>
  <si>
    <t>HADI LUTFI SAPUTRA</t>
  </si>
  <si>
    <t>IGUH PRAYOGA</t>
  </si>
  <si>
    <t>IRFAN KOSWANTORO NUR HAVID</t>
  </si>
  <si>
    <t>IZZA MUTAWAKIL DHAROTUN</t>
  </si>
  <si>
    <t>LUSTER ANIPAR</t>
  </si>
  <si>
    <t>M FARIJ ADITIYA</t>
  </si>
  <si>
    <t>M. NAUFAL ZAKA AZMI</t>
  </si>
  <si>
    <t>MIFTAHUL ANWAR</t>
  </si>
  <si>
    <t>MUHAMAD ADONIS GIYAN ATHAILLAH</t>
  </si>
  <si>
    <t>MUHAMAD HILMI FIRDAUS</t>
  </si>
  <si>
    <t>MUHAMMAD AGIL MUTAQIN</t>
  </si>
  <si>
    <t>MUHAMMAD AZHAR RAHMAD DANI</t>
  </si>
  <si>
    <t>MUHAMMAD FAKHRUL AMRI</t>
  </si>
  <si>
    <t>MUHAMMAD FIRDAUS</t>
  </si>
  <si>
    <t>MUHAMMAD FIRMAN MUSYAFFA</t>
  </si>
  <si>
    <t>MUHAMMAD HAIKALUS SOMADANI</t>
  </si>
  <si>
    <t>MUHAMMAD IZZUDDIN</t>
  </si>
  <si>
    <t>MUHAMMAD MISBACHUL FUAD</t>
  </si>
  <si>
    <t>MUHAMMAD RIZQIY KHOLILUR ROHMAN</t>
  </si>
  <si>
    <t>PRAYOGA ARISTYANTO</t>
  </si>
  <si>
    <t>RAHMAT DHANI AL FARIZI</t>
  </si>
  <si>
    <t>YAHYA ZAFARONI</t>
  </si>
  <si>
    <t>KELAS X TO 5</t>
  </si>
  <si>
    <t>KELAS X TO 4</t>
  </si>
  <si>
    <t>KELAS X TO 3</t>
  </si>
  <si>
    <t>KELAS X TO 2</t>
  </si>
  <si>
    <t>KELAS X KU 1</t>
  </si>
  <si>
    <t>AJENG SETIA NINGSIH</t>
  </si>
  <si>
    <t>ANNISA MAULIDA RAHMA</t>
  </si>
  <si>
    <t>ASHFANA FIZA AQILA</t>
  </si>
  <si>
    <t>AYUDYA MAILASYUFA</t>
  </si>
  <si>
    <t>CAHAYA APRILIA PUTRI</t>
  </si>
  <si>
    <t>CHASNA KANIYAH</t>
  </si>
  <si>
    <t>DINA MAULIDA</t>
  </si>
  <si>
    <t>FAIQOTUZ ZAHRO</t>
  </si>
  <si>
    <t>FIDA AZIZAH</t>
  </si>
  <si>
    <t>FIRDA YULIYA ISTIANTI</t>
  </si>
  <si>
    <t>HULWA SYAKILA NAJMASALISA</t>
  </si>
  <si>
    <t>INTAN RAHMA FEBRIANI</t>
  </si>
  <si>
    <t>ISNA DHIFATUL AINI</t>
  </si>
  <si>
    <t>JENNY ALIANI PUTRI</t>
  </si>
  <si>
    <t>KARINA HANUM MAULIDA</t>
  </si>
  <si>
    <t>KHUSNINA ASNAL MUNA</t>
  </si>
  <si>
    <t>LI ANA TU SHOFA</t>
  </si>
  <si>
    <t>MADINA RAHMADHANI</t>
  </si>
  <si>
    <t>NAILIL MUNA</t>
  </si>
  <si>
    <t>NUR SYAFIKA</t>
  </si>
  <si>
    <t>RAHMA SETYANI</t>
  </si>
  <si>
    <t>SELY DEFRIKA FAHRANI</t>
  </si>
  <si>
    <t>SITI HILWATUN NAWAFILA</t>
  </si>
  <si>
    <t>VIKA NUR KUMAIDAH</t>
  </si>
  <si>
    <t>KELAS X KU 2</t>
  </si>
  <si>
    <t>ANDINI MARISA KAYSI QULUB</t>
  </si>
  <si>
    <t>AQILA RUSYDA AZZUHROH</t>
  </si>
  <si>
    <t>AULIA LARASATI</t>
  </si>
  <si>
    <t>AYYAS AUFA ZAHRAN</t>
  </si>
  <si>
    <t>CAHYANI SALSABILLA PUTRI</t>
  </si>
  <si>
    <t>DEWI LINTANG RATU NINGRUM</t>
  </si>
  <si>
    <t>DINA KHAMIDAH</t>
  </si>
  <si>
    <t>DWI ANISAUR ROHMAH</t>
  </si>
  <si>
    <t>FINA DZATIN NI'MAH</t>
  </si>
  <si>
    <t>HEPI ZAHRA RIFA PUTRI</t>
  </si>
  <si>
    <t>HUSNA RORINSIA</t>
  </si>
  <si>
    <t>IVANA SAFITRI</t>
  </si>
  <si>
    <t>KAISA NUDIA SYIFA</t>
  </si>
  <si>
    <t>KAYLA JIHAN RAHMAYANTI</t>
  </si>
  <si>
    <t>KUNTI NURA MA'SUMA M.H</t>
  </si>
  <si>
    <t>LULUK ATIN NAFILA</t>
  </si>
  <si>
    <t>MARSA FAUZIAH</t>
  </si>
  <si>
    <t>NABILA AULIA SEPTIANA</t>
  </si>
  <si>
    <t>NAHIKA ASNA TAQIYA</t>
  </si>
  <si>
    <t>NISFI AIMATUL AZIMAH</t>
  </si>
  <si>
    <t>RIHADATUL AISY</t>
  </si>
  <si>
    <t>SALWA LILATIFAH NURIYA</t>
  </si>
  <si>
    <t>SITI FADHILATUN NINGRUM</t>
  </si>
  <si>
    <t>SITI MASIANA PUTRI</t>
  </si>
  <si>
    <t>YADI RAHMA NAYSELA</t>
  </si>
  <si>
    <t>KELAS X BU 1</t>
  </si>
  <si>
    <t>AGHNI MUFIDA</t>
  </si>
  <si>
    <t>ALFI AMELIA NABILLA</t>
  </si>
  <si>
    <t>ALIFIA EKA KHOIRUNISA</t>
  </si>
  <si>
    <t>AMALIA SAFITRI</t>
  </si>
  <si>
    <t>ANIQ JIHAN FURAIDA</t>
  </si>
  <si>
    <t>APRILIANA NABILA ZAHRA</t>
  </si>
  <si>
    <t>ARINA DARSI ILMIA</t>
  </si>
  <si>
    <t>ATIA NI'MATURROHMAH</t>
  </si>
  <si>
    <t>AURA SAKINA NURTAUFIK</t>
  </si>
  <si>
    <t>DEVI FUJIAWATI</t>
  </si>
  <si>
    <t>DIANA IKA KURNIAWATI</t>
  </si>
  <si>
    <t>DINDA REFINA PUTRI</t>
  </si>
  <si>
    <t>DONA NURUL ALIYAH</t>
  </si>
  <si>
    <t>ENNESIA RENATA NUGRAHA</t>
  </si>
  <si>
    <t>IMAS SETYANINGTYAS</t>
  </si>
  <si>
    <t>KAYLA SYIFA RAMADHANI</t>
  </si>
  <si>
    <t>KHOIRUN NISA AZ ZAHRA</t>
  </si>
  <si>
    <t>LU'LU'UN NAZILATUN NI'MAH</t>
  </si>
  <si>
    <t>MILA HIKMATUL HIDAYAH</t>
  </si>
  <si>
    <t>NABILA HABIBATUR ROHMAH</t>
  </si>
  <si>
    <t>NAILA VERDA PUTERI FATHONI</t>
  </si>
  <si>
    <t>NAJWA NURIL AIN</t>
  </si>
  <si>
    <t>NAZILA AINI NAZWA</t>
  </si>
  <si>
    <t>NUR HIDAYATUR RIZQIYAH</t>
  </si>
  <si>
    <t>NUR MAFTUKHAH</t>
  </si>
  <si>
    <t>NURIL AZKA</t>
  </si>
  <si>
    <t>PUTRI WAHYU INDAH LESTARI</t>
  </si>
  <si>
    <t>RESTI OKTAFIANI</t>
  </si>
  <si>
    <t>RISKA AROFAH</t>
  </si>
  <si>
    <t>SEKAR AYU ADITYA INTAN NURAENI</t>
  </si>
  <si>
    <t>SHOLIHATUL ADAWIYAH</t>
  </si>
  <si>
    <t>SIQOTIN NISWAH</t>
  </si>
  <si>
    <t>SITI TADZKIROTUS SHOFIA</t>
  </si>
  <si>
    <t>SYIFANKA NAYILLA FARCHA</t>
  </si>
  <si>
    <t>WILDA NUR KARIMA</t>
  </si>
  <si>
    <t>YULIA RAHMA AULIA</t>
  </si>
  <si>
    <t>ZAHRIS SHOFIA</t>
  </si>
  <si>
    <t>KELAS X BU 2</t>
  </si>
  <si>
    <t>AIDA FATIMATUZ ZAHRA</t>
  </si>
  <si>
    <t>ALFINA FUROIDA</t>
  </si>
  <si>
    <t>ALIFTA HUSNA NATASYA</t>
  </si>
  <si>
    <t>ANGGI HARYANA PUTRI</t>
  </si>
  <si>
    <t>ANITA RIZQY CAHYANI</t>
  </si>
  <si>
    <t>ARIANTI LAILATUL MAGFIROH</t>
  </si>
  <si>
    <t>ASKA UTU'UL NISA</t>
  </si>
  <si>
    <t>AULIYA NAJIVA</t>
  </si>
  <si>
    <t>DESINTA YUMROTUN</t>
  </si>
  <si>
    <t>DEWI ZAHROH ALMUNAWWAROH</t>
  </si>
  <si>
    <t>DINA ARIYANI OKTAVIA</t>
  </si>
  <si>
    <t>DWI AYU MASITA</t>
  </si>
  <si>
    <t>FARAH FAUZIAH MAULIDA</t>
  </si>
  <si>
    <t>FATMA NISA ALIFIA</t>
  </si>
  <si>
    <t>FIKA MAULIDA AYATUZZULFA</t>
  </si>
  <si>
    <t>KAYSA JIHAN LARASATI</t>
  </si>
  <si>
    <t>KUNNI AZKA AULIA</t>
  </si>
  <si>
    <t>MAF'UL LATIFAH</t>
  </si>
  <si>
    <t>MUALFIYAH AULIYATUL MAFAZA</t>
  </si>
  <si>
    <t>NAILA FADHLA</t>
  </si>
  <si>
    <t>NAIMATUL HAFSAH</t>
  </si>
  <si>
    <t>NEIRA SYIFA AL MAQHVIRA</t>
  </si>
  <si>
    <t>NUR LIYANA KAMILATUZ ZULFA</t>
  </si>
  <si>
    <t>NURI MAULIDA PUTRI</t>
  </si>
  <si>
    <t>NURUL LAYLI ASYIFATUL KHASANAH</t>
  </si>
  <si>
    <t>PUTRI ZAHRA ALAYNA</t>
  </si>
  <si>
    <t xml:space="preserve">REZA DWI ANGGITA </t>
  </si>
  <si>
    <t>RIZKA RIFATUL MAFTUKHAH</t>
  </si>
  <si>
    <t>SELVIANA WAHYU AGUSTIA</t>
  </si>
  <si>
    <t>SILVI MAIZIATU HUSNA</t>
  </si>
  <si>
    <t>SITI SHOLEHATUN</t>
  </si>
  <si>
    <t>SYAHDA NA'MA ZAHARANI</t>
  </si>
  <si>
    <t>WILDA KHILWA FAJRINA</t>
  </si>
  <si>
    <t>YUKHA ZUHRIATUSSANIA</t>
  </si>
  <si>
    <t>ZAHRA NAILATUSSA'DIYAH</t>
  </si>
  <si>
    <t>ZULFA MALIKATUNNISA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</si>
</sst>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dd/mm/yyyy;@"/>
  </numFmts>
  <fonts count="38" x14ac:knownFonts="1">
    <font>
      <sz val="11"/>
      <color theme="1"/>
      <name val="Calibri"/>
      <family val="2"/>
      <charset val="1"/>
      <scheme val="minor"/>
    </font>
    <font>
      <b/>
      <sz val="11"/>
      <color theme="1"/>
      <name val="Calibri"/>
      <family val="2"/>
      <scheme val="minor"/>
    </font>
    <font>
      <b/>
      <sz val="16"/>
      <color theme="1"/>
      <name val="Calibri"/>
      <family val="2"/>
      <scheme val="minor"/>
    </font>
    <font>
      <b/>
      <sz val="14"/>
      <color theme="1"/>
      <name val="Calibri"/>
      <family val="2"/>
      <scheme val="minor"/>
    </font>
    <font>
      <b/>
      <sz val="12"/>
      <color theme="1"/>
      <name val="Calibri"/>
      <family val="2"/>
      <scheme val="minor"/>
    </font>
    <font>
      <sz val="12"/>
      <color theme="1"/>
      <name val="Times New Roman"/>
      <family val="1"/>
    </font>
    <font>
      <sz val="8"/>
      <name val="Arial"/>
      <family val="2"/>
    </font>
    <font>
      <sz val="11"/>
      <color rgb="FF000000"/>
      <name val="Tahoma"/>
      <family val="2"/>
    </font>
    <font>
      <sz val="11"/>
      <color theme="1"/>
      <name val="Arial"/>
      <family val="2"/>
    </font>
    <font>
      <b/>
      <sz val="18"/>
      <name val="Century Schoolbook"/>
      <family val="1"/>
    </font>
    <font>
      <sz val="10"/>
      <color theme="1"/>
      <name val="Calibri"/>
      <family val="2"/>
      <charset val="1"/>
      <scheme val="minor"/>
    </font>
    <font>
      <sz val="11"/>
      <color theme="1"/>
      <name val="Arial Rounded MT Bold"/>
      <family val="2"/>
    </font>
    <font>
      <b/>
      <sz val="11"/>
      <color theme="1"/>
      <name val="Arial Rounded MT Bold"/>
      <family val="2"/>
    </font>
    <font>
      <sz val="12"/>
      <name val="Arial Rounded MT Bold"/>
      <family val="2"/>
    </font>
    <font>
      <b/>
      <sz val="20"/>
      <name val="Century Schoolbook"/>
      <family val="1"/>
    </font>
    <font>
      <sz val="12"/>
      <name val="Clarendon BT"/>
      <family val="1"/>
    </font>
    <font>
      <sz val="11"/>
      <color theme="1"/>
      <name val="Clarendon BT"/>
      <family val="1"/>
    </font>
    <font>
      <sz val="14"/>
      <name val="Clarendon BT"/>
      <family val="1"/>
    </font>
    <font>
      <sz val="10"/>
      <name val="Clarendon BT"/>
      <family val="1"/>
    </font>
    <font>
      <b/>
      <sz val="12"/>
      <name val="Clarendon BT"/>
      <family val="1"/>
    </font>
    <font>
      <sz val="16"/>
      <color theme="1"/>
      <name val="Wingdings"/>
      <charset val="2"/>
    </font>
    <font>
      <sz val="11"/>
      <color theme="1"/>
      <name val="Cambria"/>
      <family val="1"/>
      <scheme val="major"/>
    </font>
    <font>
      <b/>
      <sz val="11"/>
      <color theme="1"/>
      <name val="Cambria"/>
      <family val="1"/>
      <scheme val="major"/>
    </font>
    <font>
      <sz val="12"/>
      <color theme="1"/>
      <name val="Cambria"/>
      <family val="1"/>
      <scheme val="major"/>
    </font>
    <font>
      <b/>
      <sz val="9"/>
      <name val="Century Schoolbook"/>
      <family val="1"/>
    </font>
    <font>
      <b/>
      <sz val="9"/>
      <color theme="1"/>
      <name val="Century Schoolbook"/>
      <family val="1"/>
    </font>
    <font>
      <sz val="9"/>
      <color theme="1"/>
      <name val="Calibri"/>
      <family val="2"/>
      <charset val="1"/>
      <scheme val="minor"/>
    </font>
    <font>
      <sz val="9"/>
      <color theme="1"/>
      <name val="Wingdings"/>
      <charset val="2"/>
    </font>
    <font>
      <sz val="9"/>
      <name val="Arial Narrow"/>
      <family val="2"/>
    </font>
    <font>
      <b/>
      <sz val="9"/>
      <color theme="1"/>
      <name val="Calibri"/>
      <family val="2"/>
      <scheme val="minor"/>
    </font>
    <font>
      <sz val="9"/>
      <color theme="1"/>
      <name val="Aharoni"/>
      <charset val="177"/>
    </font>
    <font>
      <b/>
      <sz val="9"/>
      <color theme="1"/>
      <name val="Arial Rounded MT Bold"/>
      <family val="2"/>
    </font>
    <font>
      <sz val="9"/>
      <color theme="1"/>
      <name val="Arial Rounded MT Bold"/>
      <family val="2"/>
    </font>
    <font>
      <b/>
      <sz val="12"/>
      <color theme="1"/>
      <name val="Times New Roman"/>
      <family val="1"/>
    </font>
    <font>
      <b/>
      <sz val="16"/>
      <color theme="1"/>
      <name val="Times New Roman"/>
      <family val="1"/>
    </font>
    <font>
      <b/>
      <sz val="14"/>
      <color theme="1"/>
      <name val="Times New Roman"/>
      <family val="1"/>
    </font>
    <font>
      <sz val="11"/>
      <color theme="1"/>
      <name val="Times New Roman"/>
      <family val="1"/>
    </font>
    <font>
      <sz val="12"/>
      <name val="Times New Roman"/>
      <family val="1"/>
    </font>
  </fonts>
  <fills count="12">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00B050"/>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4" tint="0.59999389629810485"/>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style="thin">
        <color indexed="64"/>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double">
        <color indexed="64"/>
      </right>
      <top/>
      <bottom/>
      <diagonal/>
    </border>
    <border>
      <left style="double">
        <color indexed="64"/>
      </left>
      <right/>
      <top/>
      <bottom/>
      <diagonal/>
    </border>
    <border>
      <left/>
      <right style="thin">
        <color indexed="64"/>
      </right>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double">
        <color auto="1"/>
      </left>
      <right style="double">
        <color auto="1"/>
      </right>
      <top style="double">
        <color auto="1"/>
      </top>
      <bottom style="double">
        <color auto="1"/>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style="thin">
        <color indexed="64"/>
      </left>
      <right style="thin">
        <color indexed="64"/>
      </right>
      <top/>
      <bottom/>
      <diagonal/>
    </border>
    <border>
      <left/>
      <right/>
      <top style="double">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231">
    <xf numFmtId="0" fontId="0" fillId="0" borderId="0" xfId="0"/>
    <xf numFmtId="0" fontId="0" fillId="0" borderId="1" xfId="0" applyBorder="1"/>
    <xf numFmtId="0" fontId="0" fillId="0" borderId="1" xfId="0" applyBorder="1" applyAlignment="1">
      <alignment horizontal="center"/>
    </xf>
    <xf numFmtId="0" fontId="1" fillId="0" borderId="0" xfId="0" applyFont="1" applyAlignment="1">
      <alignment horizontal="center"/>
    </xf>
    <xf numFmtId="0" fontId="4" fillId="0" borderId="0" xfId="0" applyFont="1"/>
    <xf numFmtId="0" fontId="0" fillId="0" borderId="3" xfId="0" applyBorder="1"/>
    <xf numFmtId="0" fontId="6" fillId="0" borderId="0" xfId="0" applyFont="1"/>
    <xf numFmtId="0" fontId="6" fillId="0" borderId="7" xfId="0" applyFont="1" applyBorder="1" applyAlignment="1">
      <alignment horizontal="center"/>
    </xf>
    <xf numFmtId="0" fontId="6" fillId="0" borderId="8" xfId="0" applyFont="1" applyBorder="1"/>
    <xf numFmtId="0" fontId="6" fillId="0" borderId="9" xfId="0" applyFont="1" applyBorder="1"/>
    <xf numFmtId="0" fontId="6" fillId="0" borderId="10" xfId="0" applyFont="1" applyBorder="1"/>
    <xf numFmtId="0" fontId="6" fillId="0" borderId="11" xfId="0" applyFont="1" applyBorder="1"/>
    <xf numFmtId="0" fontId="6" fillId="0" borderId="12" xfId="0" applyFont="1" applyBorder="1"/>
    <xf numFmtId="0" fontId="6" fillId="0" borderId="20" xfId="0" applyFont="1" applyBorder="1"/>
    <xf numFmtId="0" fontId="6" fillId="0" borderId="21" xfId="0" applyFont="1" applyBorder="1"/>
    <xf numFmtId="0" fontId="6" fillId="0" borderId="22" xfId="0" applyFont="1" applyBorder="1"/>
    <xf numFmtId="0" fontId="7" fillId="0" borderId="1" xfId="0" applyFont="1" applyBorder="1" applyAlignment="1">
      <alignment vertical="center"/>
    </xf>
    <xf numFmtId="0" fontId="7" fillId="0" borderId="1" xfId="0" applyFont="1" applyBorder="1" applyAlignment="1">
      <alignment horizontal="center" vertical="center"/>
    </xf>
    <xf numFmtId="0" fontId="8" fillId="0" borderId="1" xfId="0" applyFont="1" applyBorder="1" applyAlignment="1">
      <alignment horizontal="center"/>
    </xf>
    <xf numFmtId="0" fontId="2" fillId="0" borderId="0" xfId="0" applyFont="1" applyAlignment="1">
      <alignment horizontal="centerContinuous" vertical="center"/>
    </xf>
    <xf numFmtId="0" fontId="3" fillId="0" borderId="0" xfId="0" applyFont="1" applyAlignment="1">
      <alignment horizontal="centerContinuous" vertical="center"/>
    </xf>
    <xf numFmtId="0" fontId="6" fillId="0" borderId="13" xfId="0" applyFont="1" applyBorder="1"/>
    <xf numFmtId="0" fontId="6" fillId="0" borderId="14" xfId="0" applyFont="1" applyBorder="1"/>
    <xf numFmtId="0" fontId="6" fillId="0" borderId="23" xfId="0" applyFont="1" applyBorder="1"/>
    <xf numFmtId="0" fontId="6" fillId="0" borderId="24" xfId="0" applyFont="1" applyBorder="1"/>
    <xf numFmtId="2" fontId="6" fillId="0" borderId="18" xfId="0" quotePrefix="1" applyNumberFormat="1" applyFont="1" applyBorder="1"/>
    <xf numFmtId="2" fontId="6" fillId="0" borderId="19" xfId="0" quotePrefix="1" applyNumberFormat="1" applyFont="1" applyBorder="1"/>
    <xf numFmtId="0" fontId="6" fillId="0" borderId="13" xfId="0" applyFont="1" applyBorder="1" applyAlignment="1">
      <alignment horizontal="centerContinuous" vertical="center"/>
    </xf>
    <xf numFmtId="0" fontId="6" fillId="0" borderId="14" xfId="0" applyFont="1" applyBorder="1" applyAlignment="1">
      <alignment horizontal="centerContinuous" vertical="center"/>
    </xf>
    <xf numFmtId="0" fontId="6" fillId="0" borderId="18" xfId="0" applyFont="1" applyBorder="1" applyAlignment="1">
      <alignment horizontal="centerContinuous" vertical="center"/>
    </xf>
    <xf numFmtId="0" fontId="6" fillId="0" borderId="19" xfId="0" applyFont="1" applyBorder="1" applyAlignment="1">
      <alignment horizontal="centerContinuous" vertical="center"/>
    </xf>
    <xf numFmtId="0" fontId="6" fillId="0" borderId="15" xfId="0" applyFont="1" applyBorder="1" applyAlignment="1">
      <alignment horizontal="centerContinuous" vertical="center"/>
    </xf>
    <xf numFmtId="0" fontId="6" fillId="0" borderId="16" xfId="0" applyFont="1" applyBorder="1" applyAlignment="1">
      <alignment horizontal="centerContinuous" vertical="center"/>
    </xf>
    <xf numFmtId="0" fontId="6" fillId="0" borderId="17" xfId="0" applyFont="1" applyBorder="1" applyAlignment="1">
      <alignment horizontal="centerContinuous" vertical="center"/>
    </xf>
    <xf numFmtId="0" fontId="6" fillId="0" borderId="20" xfId="0" applyFont="1" applyBorder="1" applyAlignment="1">
      <alignment horizontal="centerContinuous" vertical="center"/>
    </xf>
    <xf numFmtId="0" fontId="6" fillId="0" borderId="21" xfId="0" applyFont="1" applyBorder="1" applyAlignment="1">
      <alignment horizontal="centerContinuous" vertical="center"/>
    </xf>
    <xf numFmtId="0" fontId="3" fillId="0" borderId="0" xfId="0" applyFont="1" applyAlignment="1">
      <alignment horizontal="left" vertical="center"/>
    </xf>
    <xf numFmtId="164" fontId="1" fillId="0" borderId="0" xfId="0" applyNumberFormat="1" applyFont="1" applyAlignment="1">
      <alignment horizontal="center"/>
    </xf>
    <xf numFmtId="0" fontId="9" fillId="0" borderId="0" xfId="0" applyFont="1"/>
    <xf numFmtId="0" fontId="10" fillId="0" borderId="0" xfId="0" applyFont="1"/>
    <xf numFmtId="0" fontId="0" fillId="0" borderId="34" xfId="0" applyBorder="1"/>
    <xf numFmtId="0" fontId="12" fillId="3" borderId="5" xfId="0" applyFont="1" applyFill="1" applyBorder="1" applyAlignment="1">
      <alignment horizontal="centerContinuous"/>
    </xf>
    <xf numFmtId="0" fontId="12" fillId="3" borderId="6" xfId="0" applyFont="1" applyFill="1" applyBorder="1" applyAlignment="1">
      <alignment horizontal="centerContinuous"/>
    </xf>
    <xf numFmtId="0" fontId="12" fillId="6" borderId="1" xfId="0" applyFont="1" applyFill="1" applyBorder="1" applyAlignment="1">
      <alignment horizontal="center"/>
    </xf>
    <xf numFmtId="0" fontId="15" fillId="0" borderId="25" xfId="0" applyFont="1" applyBorder="1"/>
    <xf numFmtId="0" fontId="15" fillId="0" borderId="25" xfId="0" applyFont="1" applyBorder="1" applyAlignment="1">
      <alignment horizontal="left" vertical="center"/>
    </xf>
    <xf numFmtId="0" fontId="15" fillId="0" borderId="0" xfId="0" applyFont="1"/>
    <xf numFmtId="0" fontId="15" fillId="0" borderId="0" xfId="0" applyFont="1" applyAlignment="1">
      <alignment horizontal="left"/>
    </xf>
    <xf numFmtId="0" fontId="17" fillId="0" borderId="0" xfId="0" applyFont="1" applyAlignment="1">
      <alignment horizontal="right" vertical="center"/>
    </xf>
    <xf numFmtId="0" fontId="16" fillId="0" borderId="0" xfId="0" applyFont="1"/>
    <xf numFmtId="0" fontId="12" fillId="6" borderId="6" xfId="0" applyFont="1" applyFill="1" applyBorder="1" applyAlignment="1">
      <alignment horizontal="center"/>
    </xf>
    <xf numFmtId="0" fontId="11" fillId="0" borderId="4" xfId="0" applyFont="1" applyBorder="1"/>
    <xf numFmtId="0" fontId="11" fillId="0" borderId="6" xfId="0" applyFont="1" applyBorder="1"/>
    <xf numFmtId="0" fontId="4" fillId="0" borderId="0" xfId="0" applyFont="1" applyAlignment="1">
      <alignment horizontal="center" vertical="center"/>
    </xf>
    <xf numFmtId="0" fontId="15" fillId="0" borderId="34" xfId="0" applyFont="1" applyBorder="1"/>
    <xf numFmtId="0" fontId="15" fillId="0" borderId="0" xfId="0" applyFont="1" applyAlignment="1">
      <alignment horizontal="center" vertical="center"/>
    </xf>
    <xf numFmtId="0" fontId="15" fillId="0" borderId="25" xfId="0" applyFont="1" applyBorder="1" applyAlignment="1">
      <alignment horizontal="center" vertical="center"/>
    </xf>
    <xf numFmtId="0" fontId="15" fillId="0" borderId="34" xfId="0" applyFont="1" applyBorder="1" applyAlignment="1">
      <alignment horizontal="center" vertical="center"/>
    </xf>
    <xf numFmtId="0" fontId="0" fillId="0" borderId="25" xfId="0" applyBorder="1"/>
    <xf numFmtId="0" fontId="19" fillId="5" borderId="35" xfId="0" applyFont="1" applyFill="1" applyBorder="1" applyAlignment="1">
      <alignment horizontal="centerContinuous" vertical="center"/>
    </xf>
    <xf numFmtId="0" fontId="19" fillId="5" borderId="36" xfId="0" applyFont="1" applyFill="1" applyBorder="1" applyAlignment="1">
      <alignment horizontal="centerContinuous" vertical="center"/>
    </xf>
    <xf numFmtId="0" fontId="19" fillId="6" borderId="36" xfId="0" applyFont="1" applyFill="1" applyBorder="1" applyAlignment="1">
      <alignment horizontal="centerContinuous" vertical="center"/>
    </xf>
    <xf numFmtId="0" fontId="19" fillId="6" borderId="37" xfId="0" applyFont="1" applyFill="1" applyBorder="1" applyAlignment="1">
      <alignment horizontal="centerContinuous" vertical="center"/>
    </xf>
    <xf numFmtId="0" fontId="19" fillId="6" borderId="35" xfId="0" applyFont="1" applyFill="1" applyBorder="1" applyAlignment="1">
      <alignment horizontal="centerContinuous" vertical="center"/>
    </xf>
    <xf numFmtId="11" fontId="19" fillId="5" borderId="36" xfId="0" applyNumberFormat="1" applyFont="1" applyFill="1" applyBorder="1" applyAlignment="1">
      <alignment horizontal="centerContinuous" vertical="center"/>
    </xf>
    <xf numFmtId="11" fontId="19" fillId="5" borderId="37" xfId="0" applyNumberFormat="1" applyFont="1" applyFill="1" applyBorder="1" applyAlignment="1">
      <alignment horizontal="centerContinuous" vertical="center"/>
    </xf>
    <xf numFmtId="0" fontId="20" fillId="4" borderId="1" xfId="0" applyFont="1" applyFill="1" applyBorder="1" applyAlignment="1">
      <alignment horizontal="center" vertical="center"/>
    </xf>
    <xf numFmtId="0" fontId="0" fillId="4" borderId="0" xfId="0" applyFill="1"/>
    <xf numFmtId="0" fontId="19" fillId="5" borderId="39" xfId="0" applyFont="1" applyFill="1" applyBorder="1" applyAlignment="1">
      <alignment horizontal="centerContinuous" vertical="center"/>
    </xf>
    <xf numFmtId="0" fontId="16" fillId="5" borderId="37" xfId="0" applyFont="1" applyFill="1" applyBorder="1" applyAlignment="1">
      <alignment horizontal="centerContinuous" vertical="center"/>
    </xf>
    <xf numFmtId="0" fontId="16" fillId="6" borderId="37" xfId="0" applyFont="1" applyFill="1" applyBorder="1" applyAlignment="1">
      <alignment horizontal="centerContinuous" vertical="center"/>
    </xf>
    <xf numFmtId="0" fontId="4" fillId="7" borderId="1" xfId="0" applyFont="1" applyFill="1" applyBorder="1" applyAlignment="1">
      <alignment horizontal="center"/>
    </xf>
    <xf numFmtId="0" fontId="4" fillId="0" borderId="4" xfId="0" applyFont="1" applyBorder="1" applyAlignment="1">
      <alignment horizontal="centerContinuous" vertical="center"/>
    </xf>
    <xf numFmtId="0" fontId="4" fillId="0" borderId="5" xfId="0" applyFont="1" applyBorder="1" applyAlignment="1">
      <alignment horizontal="centerContinuous" vertical="center"/>
    </xf>
    <xf numFmtId="0" fontId="4" fillId="0" borderId="6" xfId="0" applyFont="1" applyBorder="1" applyAlignment="1">
      <alignment horizontal="centerContinuous" vertical="center"/>
    </xf>
    <xf numFmtId="0" fontId="4" fillId="2" borderId="3" xfId="0" applyFont="1" applyFill="1" applyBorder="1" applyAlignment="1">
      <alignment horizontal="center"/>
    </xf>
    <xf numFmtId="0" fontId="4" fillId="8" borderId="3" xfId="0" applyFont="1" applyFill="1" applyBorder="1" applyAlignment="1">
      <alignment horizontal="center"/>
    </xf>
    <xf numFmtId="0" fontId="0" fillId="0" borderId="0" xfId="0" applyAlignment="1">
      <alignment horizontal="center"/>
    </xf>
    <xf numFmtId="0" fontId="21" fillId="0" borderId="0" xfId="0" applyFont="1"/>
    <xf numFmtId="0" fontId="22" fillId="0" borderId="0" xfId="0" applyFont="1" applyAlignment="1">
      <alignment horizontal="center"/>
    </xf>
    <xf numFmtId="0" fontId="23" fillId="0" borderId="0" xfId="0" applyFont="1"/>
    <xf numFmtId="0" fontId="9" fillId="4" borderId="0" xfId="0" applyFont="1" applyFill="1"/>
    <xf numFmtId="0" fontId="15" fillId="4" borderId="25" xfId="0" applyFont="1" applyFill="1" applyBorder="1"/>
    <xf numFmtId="0" fontId="0" fillId="4" borderId="25" xfId="0" applyFill="1" applyBorder="1"/>
    <xf numFmtId="0" fontId="15" fillId="4" borderId="25" xfId="0" applyFont="1" applyFill="1" applyBorder="1" applyAlignment="1">
      <alignment horizontal="left" vertical="center"/>
    </xf>
    <xf numFmtId="0" fontId="15" fillId="4" borderId="0" xfId="0" applyFont="1" applyFill="1"/>
    <xf numFmtId="0" fontId="15" fillId="4" borderId="0" xfId="0" applyFont="1" applyFill="1" applyAlignment="1">
      <alignment horizontal="left"/>
    </xf>
    <xf numFmtId="0" fontId="0" fillId="4" borderId="34" xfId="0" applyFill="1" applyBorder="1"/>
    <xf numFmtId="0" fontId="20" fillId="0" borderId="0" xfId="0" applyFont="1"/>
    <xf numFmtId="0" fontId="20" fillId="0" borderId="0" xfId="0" applyFont="1" applyAlignment="1">
      <alignment horizontal="center" vertical="center"/>
    </xf>
    <xf numFmtId="0" fontId="11" fillId="0" borderId="0" xfId="0" applyFont="1"/>
    <xf numFmtId="0" fontId="11" fillId="0" borderId="0" xfId="0" applyFont="1" applyAlignment="1">
      <alignment horizontal="centerContinuous" vertical="center" wrapText="1"/>
    </xf>
    <xf numFmtId="0" fontId="13" fillId="0" borderId="0" xfId="0" applyFont="1"/>
    <xf numFmtId="0" fontId="25" fillId="2" borderId="4" xfId="0" applyFont="1" applyFill="1" applyBorder="1" applyAlignment="1">
      <alignment horizontal="centerContinuous" vertical="center"/>
    </xf>
    <xf numFmtId="0" fontId="25" fillId="2" borderId="5" xfId="0" applyFont="1" applyFill="1" applyBorder="1" applyAlignment="1">
      <alignment horizontal="centerContinuous" vertical="center"/>
    </xf>
    <xf numFmtId="0" fontId="25" fillId="2" borderId="6" xfId="0" applyFont="1" applyFill="1" applyBorder="1" applyAlignment="1">
      <alignment horizontal="centerContinuous" vertical="center"/>
    </xf>
    <xf numFmtId="0" fontId="26" fillId="0" borderId="0" xfId="0" applyFont="1"/>
    <xf numFmtId="0" fontId="25" fillId="2" borderId="1" xfId="0" applyFont="1" applyFill="1" applyBorder="1" applyAlignment="1">
      <alignment horizontal="center"/>
    </xf>
    <xf numFmtId="0" fontId="24" fillId="3" borderId="0" xfId="0" applyFont="1" applyFill="1" applyAlignment="1">
      <alignment horizontal="center" vertical="center"/>
    </xf>
    <xf numFmtId="0" fontId="27" fillId="3" borderId="0" xfId="0" applyFont="1" applyFill="1" applyAlignment="1">
      <alignment horizontal="center" vertical="center"/>
    </xf>
    <xf numFmtId="0" fontId="25" fillId="3" borderId="0" xfId="0" applyFont="1" applyFill="1" applyAlignment="1">
      <alignment horizontal="center" vertical="center"/>
    </xf>
    <xf numFmtId="0" fontId="24" fillId="0" borderId="0" xfId="0" applyFont="1" applyAlignment="1">
      <alignment horizontal="center" vertical="center"/>
    </xf>
    <xf numFmtId="0" fontId="25" fillId="0" borderId="0" xfId="0" applyFont="1" applyAlignment="1">
      <alignment horizontal="center" vertical="center"/>
    </xf>
    <xf numFmtId="0" fontId="28" fillId="0" borderId="0" xfId="0" applyFont="1"/>
    <xf numFmtId="0" fontId="26" fillId="0" borderId="26" xfId="0" applyFont="1" applyBorder="1" applyAlignment="1">
      <alignment horizontal="left"/>
    </xf>
    <xf numFmtId="0" fontId="26" fillId="0" borderId="27" xfId="0" applyFont="1" applyBorder="1" applyAlignment="1">
      <alignment horizontal="left"/>
    </xf>
    <xf numFmtId="0" fontId="26" fillId="0" borderId="28" xfId="0" applyFont="1" applyBorder="1" applyAlignment="1">
      <alignment horizontal="left"/>
    </xf>
    <xf numFmtId="0" fontId="26" fillId="0" borderId="29" xfId="0" applyFont="1" applyBorder="1" applyAlignment="1">
      <alignment horizontal="left"/>
    </xf>
    <xf numFmtId="0" fontId="26" fillId="0" borderId="0" xfId="0" applyFont="1" applyAlignment="1">
      <alignment horizontal="left"/>
    </xf>
    <xf numFmtId="0" fontId="26" fillId="0" borderId="30" xfId="0" applyFont="1" applyBorder="1" applyAlignment="1">
      <alignment horizontal="left"/>
    </xf>
    <xf numFmtId="0" fontId="30" fillId="0" borderId="0" xfId="0" applyFont="1"/>
    <xf numFmtId="0" fontId="26" fillId="0" borderId="33" xfId="0" applyFont="1" applyBorder="1" applyAlignment="1">
      <alignment horizontal="left"/>
    </xf>
    <xf numFmtId="0" fontId="30" fillId="4" borderId="0" xfId="0" applyFont="1" applyFill="1"/>
    <xf numFmtId="0" fontId="26" fillId="4" borderId="0" xfId="0" applyFont="1" applyFill="1"/>
    <xf numFmtId="0" fontId="26" fillId="0" borderId="33" xfId="0" applyFont="1" applyBorder="1"/>
    <xf numFmtId="49" fontId="26" fillId="0" borderId="0" xfId="0" applyNumberFormat="1" applyFont="1"/>
    <xf numFmtId="0" fontId="32" fillId="0" borderId="0" xfId="0" applyFont="1"/>
    <xf numFmtId="49" fontId="32" fillId="0" borderId="0" xfId="0" applyNumberFormat="1" applyFont="1"/>
    <xf numFmtId="0" fontId="32" fillId="0" borderId="4" xfId="0" applyFont="1" applyBorder="1" applyAlignment="1">
      <alignment horizontal="left"/>
    </xf>
    <xf numFmtId="0" fontId="32" fillId="0" borderId="0" xfId="0" applyFont="1" applyAlignment="1">
      <alignment horizontal="left"/>
    </xf>
    <xf numFmtId="49" fontId="32" fillId="0" borderId="4" xfId="0" applyNumberFormat="1" applyFont="1" applyBorder="1" applyAlignment="1">
      <alignment horizontal="left"/>
    </xf>
    <xf numFmtId="49" fontId="32" fillId="0" borderId="0" xfId="0" applyNumberFormat="1" applyFont="1" applyAlignment="1">
      <alignment horizontal="left"/>
    </xf>
    <xf numFmtId="0" fontId="32" fillId="0" borderId="43" xfId="0" applyFont="1" applyBorder="1" applyAlignment="1">
      <alignment horizontal="left"/>
    </xf>
    <xf numFmtId="0" fontId="32" fillId="0" borderId="24" xfId="0" applyFont="1" applyBorder="1" applyAlignment="1">
      <alignment horizontal="left"/>
    </xf>
    <xf numFmtId="49" fontId="32" fillId="0" borderId="43" xfId="0" applyNumberFormat="1" applyFont="1" applyBorder="1" applyAlignment="1">
      <alignment horizontal="left"/>
    </xf>
    <xf numFmtId="49" fontId="32" fillId="0" borderId="24" xfId="0" applyNumberFormat="1" applyFont="1" applyBorder="1" applyAlignment="1">
      <alignment horizontal="left"/>
    </xf>
    <xf numFmtId="49" fontId="26" fillId="4" borderId="0" xfId="0" applyNumberFormat="1" applyFont="1" applyFill="1"/>
    <xf numFmtId="49" fontId="32" fillId="0" borderId="43" xfId="0" applyNumberFormat="1" applyFont="1" applyBorder="1"/>
    <xf numFmtId="49" fontId="32" fillId="0" borderId="44" xfId="0" applyNumberFormat="1" applyFont="1" applyBorder="1"/>
    <xf numFmtId="49" fontId="32" fillId="0" borderId="34" xfId="0" applyNumberFormat="1" applyFont="1" applyBorder="1" applyAlignment="1">
      <alignment horizontal="left"/>
    </xf>
    <xf numFmtId="49" fontId="32" fillId="0" borderId="45" xfId="0" applyNumberFormat="1" applyFont="1" applyBorder="1" applyAlignment="1">
      <alignment horizontal="left"/>
    </xf>
    <xf numFmtId="49" fontId="31" fillId="0" borderId="4" xfId="0" applyNumberFormat="1" applyFont="1" applyBorder="1" applyAlignment="1">
      <alignment horizontal="centerContinuous" vertical="center"/>
    </xf>
    <xf numFmtId="49" fontId="31" fillId="0" borderId="5" xfId="0" applyNumberFormat="1" applyFont="1" applyBorder="1" applyAlignment="1">
      <alignment horizontal="centerContinuous" vertical="center"/>
    </xf>
    <xf numFmtId="49" fontId="31" fillId="0" borderId="6" xfId="0" applyNumberFormat="1" applyFont="1" applyBorder="1" applyAlignment="1">
      <alignment horizontal="centerContinuous" vertical="center"/>
    </xf>
    <xf numFmtId="49" fontId="31" fillId="0" borderId="1" xfId="0" applyNumberFormat="1" applyFont="1" applyBorder="1" applyAlignment="1">
      <alignment horizontal="centerContinuous" vertical="center"/>
    </xf>
    <xf numFmtId="49" fontId="32" fillId="0" borderId="4" xfId="0" applyNumberFormat="1" applyFont="1" applyBorder="1" applyAlignment="1">
      <alignment horizontal="center"/>
    </xf>
    <xf numFmtId="49" fontId="32" fillId="0" borderId="5" xfId="0" applyNumberFormat="1" applyFont="1" applyBorder="1" applyAlignment="1">
      <alignment horizontal="center"/>
    </xf>
    <xf numFmtId="49" fontId="32" fillId="0" borderId="6" xfId="0" applyNumberFormat="1" applyFont="1" applyBorder="1" applyAlignment="1">
      <alignment horizontal="center"/>
    </xf>
    <xf numFmtId="49" fontId="31" fillId="0" borderId="4" xfId="0" applyNumberFormat="1" applyFont="1" applyBorder="1"/>
    <xf numFmtId="49" fontId="31" fillId="0" borderId="5" xfId="0" applyNumberFormat="1" applyFont="1" applyBorder="1"/>
    <xf numFmtId="49" fontId="31" fillId="0" borderId="6" xfId="0" applyNumberFormat="1" applyFont="1" applyBorder="1"/>
    <xf numFmtId="49" fontId="32" fillId="0" borderId="5" xfId="0" applyNumberFormat="1" applyFont="1" applyBorder="1" applyAlignment="1">
      <alignment horizontal="left"/>
    </xf>
    <xf numFmtId="49" fontId="32" fillId="0" borderId="6" xfId="0" applyNumberFormat="1" applyFont="1" applyBorder="1" applyAlignment="1">
      <alignment horizontal="left"/>
    </xf>
    <xf numFmtId="16" fontId="32" fillId="0" borderId="0" xfId="0" applyNumberFormat="1" applyFont="1" applyAlignment="1">
      <alignment horizontal="left"/>
    </xf>
    <xf numFmtId="16" fontId="32" fillId="0" borderId="4" xfId="0" applyNumberFormat="1" applyFont="1" applyBorder="1" applyAlignment="1">
      <alignment horizontal="left"/>
    </xf>
    <xf numFmtId="0" fontId="32" fillId="0" borderId="5" xfId="0" applyFont="1" applyBorder="1" applyAlignment="1">
      <alignment horizontal="left"/>
    </xf>
    <xf numFmtId="0" fontId="32" fillId="0" borderId="6" xfId="0" applyFont="1" applyBorder="1" applyAlignment="1">
      <alignment horizontal="left"/>
    </xf>
    <xf numFmtId="0" fontId="29" fillId="0" borderId="40" xfId="0" applyFont="1" applyBorder="1" applyAlignment="1">
      <alignment vertical="center"/>
    </xf>
    <xf numFmtId="0" fontId="29" fillId="0" borderId="41" xfId="0" applyFont="1" applyBorder="1" applyAlignment="1">
      <alignment vertical="center"/>
    </xf>
    <xf numFmtId="0" fontId="29" fillId="0" borderId="42" xfId="0" applyFont="1" applyBorder="1" applyAlignment="1">
      <alignment vertical="center"/>
    </xf>
    <xf numFmtId="0" fontId="32" fillId="0" borderId="26" xfId="0" applyFont="1" applyBorder="1"/>
    <xf numFmtId="0" fontId="32" fillId="0" borderId="27" xfId="0" applyFont="1" applyBorder="1"/>
    <xf numFmtId="0" fontId="32" fillId="0" borderId="28" xfId="0" applyFont="1" applyBorder="1"/>
    <xf numFmtId="0" fontId="32" fillId="0" borderId="29" xfId="0" applyFont="1" applyBorder="1"/>
    <xf numFmtId="0" fontId="32" fillId="0" borderId="30" xfId="0" applyFont="1" applyBorder="1"/>
    <xf numFmtId="0" fontId="32" fillId="0" borderId="31" xfId="0" applyFont="1" applyBorder="1"/>
    <xf numFmtId="0" fontId="32" fillId="0" borderId="32" xfId="0" applyFont="1" applyBorder="1"/>
    <xf numFmtId="0" fontId="32" fillId="0" borderId="33" xfId="0" applyFont="1" applyBorder="1"/>
    <xf numFmtId="0" fontId="5" fillId="0" borderId="1" xfId="0" applyFont="1" applyBorder="1" applyAlignment="1">
      <alignment horizontal="center" vertical="center"/>
    </xf>
    <xf numFmtId="0" fontId="5" fillId="4" borderId="1" xfId="0" applyFont="1" applyFill="1" applyBorder="1" applyAlignment="1">
      <alignment horizontal="center" vertical="center"/>
    </xf>
    <xf numFmtId="0" fontId="2" fillId="0" borderId="0" xfId="0" applyFont="1"/>
    <xf numFmtId="0" fontId="3" fillId="0" borderId="0" xfId="0" applyFont="1"/>
    <xf numFmtId="0" fontId="33" fillId="5" borderId="1" xfId="0" applyFont="1" applyFill="1" applyBorder="1" applyAlignment="1">
      <alignment horizontal="center" vertical="center"/>
    </xf>
    <xf numFmtId="0" fontId="36" fillId="0" borderId="1" xfId="0" applyFont="1" applyBorder="1" applyAlignment="1">
      <alignment horizontal="left" vertical="center"/>
    </xf>
    <xf numFmtId="165" fontId="18" fillId="0" borderId="0" xfId="0" applyNumberFormat="1" applyFont="1" applyAlignment="1">
      <alignment horizontal="left" vertical="center"/>
    </xf>
    <xf numFmtId="0" fontId="11" fillId="0" borderId="46" xfId="0" applyFont="1" applyBorder="1"/>
    <xf numFmtId="0" fontId="11" fillId="0" borderId="25" xfId="0" applyFont="1" applyBorder="1"/>
    <xf numFmtId="0" fontId="11" fillId="0" borderId="47" xfId="0" applyFont="1" applyBorder="1"/>
    <xf numFmtId="0" fontId="11" fillId="0" borderId="44" xfId="0" applyFont="1" applyBorder="1" applyAlignment="1">
      <alignment horizontal="justify" vertical="justify" wrapText="1"/>
    </xf>
    <xf numFmtId="0" fontId="11" fillId="0" borderId="34" xfId="0" applyFont="1" applyBorder="1" applyAlignment="1">
      <alignment horizontal="justify" vertical="justify" wrapText="1"/>
    </xf>
    <xf numFmtId="0" fontId="11" fillId="0" borderId="45" xfId="0" applyFont="1" applyBorder="1" applyAlignment="1">
      <alignment horizontal="justify" vertical="justify" wrapText="1"/>
    </xf>
    <xf numFmtId="0" fontId="5" fillId="0" borderId="1" xfId="0" applyFont="1" applyBorder="1" applyAlignment="1">
      <alignment horizontal="left" vertical="center"/>
    </xf>
    <xf numFmtId="0" fontId="5" fillId="7" borderId="1" xfId="0" applyFont="1" applyFill="1" applyBorder="1" applyAlignment="1">
      <alignment horizontal="left" vertical="center"/>
    </xf>
    <xf numFmtId="0" fontId="5" fillId="4" borderId="1" xfId="0" applyFont="1" applyFill="1" applyBorder="1" applyAlignment="1">
      <alignment horizontal="left" vertical="center"/>
    </xf>
    <xf numFmtId="0" fontId="5" fillId="9"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11" borderId="1" xfId="0" applyFont="1" applyFill="1" applyBorder="1" applyAlignment="1">
      <alignment horizontal="center" vertical="center"/>
    </xf>
    <xf numFmtId="0" fontId="5" fillId="0" borderId="1" xfId="0" applyFont="1" applyBorder="1"/>
    <xf numFmtId="0" fontId="37" fillId="7" borderId="1" xfId="0" applyFont="1" applyFill="1" applyBorder="1" applyAlignment="1">
      <alignment horizontal="center" vertical="center"/>
    </xf>
    <xf numFmtId="0" fontId="37" fillId="7" borderId="1" xfId="0" applyFont="1" applyFill="1" applyBorder="1" applyAlignment="1">
      <alignment horizontal="left" vertical="center"/>
    </xf>
    <xf numFmtId="0" fontId="34" fillId="0" borderId="0" xfId="0" applyFont="1" applyAlignment="1">
      <alignment horizontal="center"/>
    </xf>
    <xf numFmtId="0" fontId="35" fillId="0" borderId="0" xfId="0" applyFont="1" applyAlignment="1">
      <alignment horizontal="center"/>
    </xf>
    <xf numFmtId="0" fontId="33" fillId="5" borderId="4" xfId="0" applyFont="1" applyFill="1" applyBorder="1" applyAlignment="1">
      <alignment horizontal="center" vertical="center"/>
    </xf>
    <xf numFmtId="0" fontId="33" fillId="5" borderId="5" xfId="0" applyFont="1" applyFill="1" applyBorder="1" applyAlignment="1">
      <alignment horizontal="center" vertical="center"/>
    </xf>
    <xf numFmtId="0" fontId="33" fillId="5" borderId="6" xfId="0" applyFont="1" applyFill="1" applyBorder="1" applyAlignment="1">
      <alignment horizontal="center" vertical="center"/>
    </xf>
    <xf numFmtId="0" fontId="33" fillId="0" borderId="0" xfId="0" applyFont="1" applyAlignment="1">
      <alignment horizontal="center" vertical="center"/>
    </xf>
    <xf numFmtId="0" fontId="33" fillId="5"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32" fillId="0" borderId="4" xfId="0" applyFont="1" applyBorder="1" applyAlignment="1">
      <alignment horizontal="center"/>
    </xf>
    <xf numFmtId="0" fontId="32" fillId="0" borderId="5" xfId="0" applyFont="1" applyBorder="1" applyAlignment="1">
      <alignment horizontal="center"/>
    </xf>
    <xf numFmtId="0" fontId="32" fillId="0" borderId="6" xfId="0" applyFont="1" applyBorder="1" applyAlignment="1">
      <alignment horizontal="center"/>
    </xf>
    <xf numFmtId="49" fontId="31" fillId="0" borderId="4" xfId="0" applyNumberFormat="1" applyFont="1" applyBorder="1" applyAlignment="1">
      <alignment horizontal="left"/>
    </xf>
    <xf numFmtId="49" fontId="31" fillId="0" borderId="5" xfId="0" applyNumberFormat="1" applyFont="1" applyBorder="1" applyAlignment="1">
      <alignment horizontal="left"/>
    </xf>
    <xf numFmtId="49" fontId="31" fillId="0" borderId="6" xfId="0" applyNumberFormat="1" applyFont="1" applyBorder="1" applyAlignment="1">
      <alignment horizontal="left"/>
    </xf>
    <xf numFmtId="49" fontId="32" fillId="0" borderId="4" xfId="0" applyNumberFormat="1" applyFont="1" applyBorder="1" applyAlignment="1">
      <alignment horizontal="center"/>
    </xf>
    <xf numFmtId="49" fontId="32" fillId="0" borderId="5" xfId="0" applyNumberFormat="1" applyFont="1" applyBorder="1" applyAlignment="1">
      <alignment horizontal="center"/>
    </xf>
    <xf numFmtId="49" fontId="32" fillId="0" borderId="6" xfId="0" applyNumberFormat="1" applyFont="1" applyBorder="1" applyAlignment="1">
      <alignment horizontal="center"/>
    </xf>
    <xf numFmtId="0" fontId="31" fillId="0" borderId="4" xfId="0" applyFont="1" applyBorder="1" applyAlignment="1">
      <alignment horizontal="left"/>
    </xf>
    <xf numFmtId="0" fontId="31" fillId="0" borderId="5" xfId="0" applyFont="1" applyBorder="1" applyAlignment="1">
      <alignment horizontal="left"/>
    </xf>
    <xf numFmtId="0" fontId="31" fillId="0" borderId="6" xfId="0" applyFont="1" applyBorder="1" applyAlignment="1">
      <alignment horizontal="left"/>
    </xf>
    <xf numFmtId="0" fontId="29" fillId="0" borderId="40" xfId="0" applyFont="1" applyBorder="1" applyAlignment="1">
      <alignment horizontal="center"/>
    </xf>
    <xf numFmtId="0" fontId="29" fillId="0" borderId="41" xfId="0" applyFont="1" applyBorder="1" applyAlignment="1">
      <alignment horizontal="center"/>
    </xf>
    <xf numFmtId="0" fontId="29" fillId="0" borderId="42" xfId="0" applyFont="1" applyBorder="1" applyAlignment="1">
      <alignment horizontal="center"/>
    </xf>
    <xf numFmtId="0" fontId="26" fillId="0" borderId="29" xfId="0" applyFont="1" applyBorder="1" applyAlignment="1">
      <alignment horizontal="left"/>
    </xf>
    <xf numFmtId="0" fontId="26" fillId="0" borderId="0" xfId="0" applyFont="1" applyAlignment="1">
      <alignment horizontal="left"/>
    </xf>
    <xf numFmtId="49" fontId="26" fillId="0" borderId="0" xfId="0" applyNumberFormat="1" applyFont="1" applyAlignment="1">
      <alignment horizontal="left"/>
    </xf>
    <xf numFmtId="49" fontId="31" fillId="0" borderId="1" xfId="0" applyNumberFormat="1" applyFont="1" applyBorder="1" applyAlignment="1">
      <alignment horizontal="center"/>
    </xf>
    <xf numFmtId="0" fontId="26" fillId="0" borderId="31" xfId="0" applyFont="1" applyBorder="1" applyAlignment="1">
      <alignment horizontal="left"/>
    </xf>
    <xf numFmtId="0" fontId="26" fillId="0" borderId="32" xfId="0" applyFont="1" applyBorder="1" applyAlignment="1">
      <alignment horizontal="left"/>
    </xf>
    <xf numFmtId="0" fontId="26" fillId="0" borderId="30" xfId="0" applyFont="1" applyBorder="1" applyAlignment="1">
      <alignment horizontal="left"/>
    </xf>
    <xf numFmtId="0" fontId="14" fillId="0" borderId="0" xfId="0" applyFont="1" applyAlignment="1">
      <alignment horizontal="center"/>
    </xf>
    <xf numFmtId="0" fontId="15" fillId="0" borderId="34" xfId="0" applyFont="1" applyBorder="1" applyAlignment="1">
      <alignment horizontal="left"/>
    </xf>
    <xf numFmtId="0" fontId="24" fillId="2" borderId="2" xfId="0" applyFont="1" applyFill="1" applyBorder="1" applyAlignment="1">
      <alignment horizontal="center" vertical="center"/>
    </xf>
    <xf numFmtId="0" fontId="24" fillId="2" borderId="3" xfId="0" applyFont="1" applyFill="1" applyBorder="1" applyAlignment="1">
      <alignment horizontal="center" vertical="center"/>
    </xf>
    <xf numFmtId="0" fontId="12" fillId="6" borderId="1" xfId="0" applyFont="1" applyFill="1" applyBorder="1" applyAlignment="1">
      <alignment horizontal="center" vertical="center"/>
    </xf>
    <xf numFmtId="0" fontId="25" fillId="2" borderId="38" xfId="0" applyFont="1" applyFill="1" applyBorder="1" applyAlignment="1">
      <alignment horizontal="center" vertical="center"/>
    </xf>
    <xf numFmtId="0" fontId="25" fillId="2" borderId="3" xfId="0" applyFont="1" applyFill="1" applyBorder="1" applyAlignment="1">
      <alignment horizontal="center" vertical="center"/>
    </xf>
    <xf numFmtId="0" fontId="11" fillId="0" borderId="4" xfId="0" applyFont="1" applyBorder="1"/>
    <xf numFmtId="0" fontId="11" fillId="0" borderId="6" xfId="0" applyFont="1" applyBorder="1"/>
    <xf numFmtId="0" fontId="31" fillId="0" borderId="1" xfId="0" applyFont="1" applyBorder="1" applyAlignment="1">
      <alignment horizontal="center"/>
    </xf>
    <xf numFmtId="0" fontId="26" fillId="0" borderId="33" xfId="0" applyFont="1" applyBorder="1" applyAlignment="1">
      <alignment horizontal="left"/>
    </xf>
    <xf numFmtId="0" fontId="11" fillId="0" borderId="43" xfId="0" applyFont="1" applyBorder="1" applyAlignment="1">
      <alignment horizontal="justify" vertical="top" wrapText="1"/>
    </xf>
    <xf numFmtId="0" fontId="11" fillId="0" borderId="0" xfId="0" applyFont="1" applyAlignment="1">
      <alignment horizontal="justify" vertical="top" wrapText="1"/>
    </xf>
    <xf numFmtId="0" fontId="11" fillId="0" borderId="24" xfId="0" applyFont="1" applyBorder="1" applyAlignment="1">
      <alignment horizontal="justify"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4</xdr:col>
      <xdr:colOff>184150</xdr:colOff>
      <xdr:row>53</xdr:row>
      <xdr:rowOff>38100</xdr:rowOff>
    </xdr:to>
    <xdr:pic>
      <xdr:nvPicPr>
        <xdr:cNvPr id="2" name="Picture 1">
          <a:extLst>
            <a:ext uri="{FF2B5EF4-FFF2-40B4-BE49-F238E27FC236}">
              <a16:creationId xmlns:a16="http://schemas.microsoft.com/office/drawing/2014/main" id="{BFE917DF-0B2D-BFC1-81A5-59E97FFE290D}"/>
            </a:ext>
          </a:extLst>
        </xdr:cNvPr>
        <xdr:cNvPicPr>
          <a:picLocks noChangeAspect="1"/>
        </xdr:cNvPicPr>
      </xdr:nvPicPr>
      <xdr:blipFill>
        <a:blip xmlns:r="http://schemas.openxmlformats.org/officeDocument/2006/relationships" r:embed="rId1"/>
        <a:stretch>
          <a:fillRect/>
        </a:stretch>
      </xdr:blipFill>
      <xdr:spPr>
        <a:xfrm>
          <a:off x="408214" y="8681357"/>
          <a:ext cx="4889500" cy="1943100"/>
        </a:xfrm>
        <a:prstGeom prst="rect">
          <a:avLst/>
        </a:prstGeom>
      </xdr:spPr>
    </xdr:pic>
    <xdr:clientData/>
  </xdr:twoCellAnchor>
  <xdr:twoCellAnchor editAs="oneCell">
    <xdr:from>
      <xdr:col>4</xdr:col>
      <xdr:colOff>36285</xdr:colOff>
      <xdr:row>43</xdr:row>
      <xdr:rowOff>20218</xdr:rowOff>
    </xdr:from>
    <xdr:to>
      <xdr:col>13</xdr:col>
      <xdr:colOff>272143</xdr:colOff>
      <xdr:row>46</xdr:row>
      <xdr:rowOff>137886</xdr:rowOff>
    </xdr:to>
    <xdr:pic>
      <xdr:nvPicPr>
        <xdr:cNvPr id="3" name="Picture 2">
          <a:extLst>
            <a:ext uri="{FF2B5EF4-FFF2-40B4-BE49-F238E27FC236}">
              <a16:creationId xmlns:a16="http://schemas.microsoft.com/office/drawing/2014/main" id="{2EE1CD23-C095-1A14-C296-0B69CBB8232B}"/>
            </a:ext>
          </a:extLst>
        </xdr:cNvPr>
        <xdr:cNvPicPr>
          <a:picLocks noChangeAspect="1"/>
        </xdr:cNvPicPr>
      </xdr:nvPicPr>
      <xdr:blipFill>
        <a:blip xmlns:r="http://schemas.openxmlformats.org/officeDocument/2006/relationships" r:embed="rId2"/>
        <a:stretch>
          <a:fillRect/>
        </a:stretch>
      </xdr:blipFill>
      <xdr:spPr>
        <a:xfrm>
          <a:off x="3682999" y="8701575"/>
          <a:ext cx="4236358" cy="689168"/>
        </a:xfrm>
        <a:prstGeom prst="rect">
          <a:avLst/>
        </a:prstGeom>
      </xdr:spPr>
    </xdr:pic>
    <xdr:clientData/>
  </xdr:twoCellAnchor>
  <xdr:twoCellAnchor editAs="oneCell">
    <xdr:from>
      <xdr:col>3</xdr:col>
      <xdr:colOff>426357</xdr:colOff>
      <xdr:row>47</xdr:row>
      <xdr:rowOff>88988</xdr:rowOff>
    </xdr:from>
    <xdr:to>
      <xdr:col>13</xdr:col>
      <xdr:colOff>308429</xdr:colOff>
      <xdr:row>62</xdr:row>
      <xdr:rowOff>29027</xdr:rowOff>
    </xdr:to>
    <xdr:pic>
      <xdr:nvPicPr>
        <xdr:cNvPr id="7" name="Picture 6">
          <a:extLst>
            <a:ext uri="{FF2B5EF4-FFF2-40B4-BE49-F238E27FC236}">
              <a16:creationId xmlns:a16="http://schemas.microsoft.com/office/drawing/2014/main" id="{3ABDFE22-01A1-36DB-E653-F491A5C025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628571" y="9532345"/>
          <a:ext cx="4327072" cy="27975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3</xdr:col>
      <xdr:colOff>488950</xdr:colOff>
      <xdr:row>53</xdr:row>
      <xdr:rowOff>38100</xdr:rowOff>
    </xdr:to>
    <xdr:pic>
      <xdr:nvPicPr>
        <xdr:cNvPr id="2" name="Picture 1">
          <a:extLst>
            <a:ext uri="{FF2B5EF4-FFF2-40B4-BE49-F238E27FC236}">
              <a16:creationId xmlns:a16="http://schemas.microsoft.com/office/drawing/2014/main" id="{6C0CD96C-05C1-4B2A-A178-C49F65C174E3}"/>
            </a:ext>
          </a:extLst>
        </xdr:cNvPr>
        <xdr:cNvPicPr>
          <a:picLocks noChangeAspect="1"/>
        </xdr:cNvPicPr>
      </xdr:nvPicPr>
      <xdr:blipFill>
        <a:blip xmlns:r="http://schemas.openxmlformats.org/officeDocument/2006/relationships" r:embed="rId1"/>
        <a:stretch>
          <a:fillRect/>
        </a:stretch>
      </xdr:blipFill>
      <xdr:spPr>
        <a:xfrm>
          <a:off x="352425" y="8686800"/>
          <a:ext cx="4327525" cy="1943100"/>
        </a:xfrm>
        <a:prstGeom prst="rect">
          <a:avLst/>
        </a:prstGeom>
      </xdr:spPr>
    </xdr:pic>
    <xdr:clientData/>
  </xdr:twoCellAnchor>
  <xdr:twoCellAnchor editAs="oneCell">
    <xdr:from>
      <xdr:col>6</xdr:col>
      <xdr:colOff>112485</xdr:colOff>
      <xdr:row>42</xdr:row>
      <xdr:rowOff>172618</xdr:rowOff>
    </xdr:from>
    <xdr:to>
      <xdr:col>12</xdr:col>
      <xdr:colOff>205468</xdr:colOff>
      <xdr:row>46</xdr:row>
      <xdr:rowOff>99786</xdr:rowOff>
    </xdr:to>
    <xdr:pic>
      <xdr:nvPicPr>
        <xdr:cNvPr id="3" name="Picture 2">
          <a:extLst>
            <a:ext uri="{FF2B5EF4-FFF2-40B4-BE49-F238E27FC236}">
              <a16:creationId xmlns:a16="http://schemas.microsoft.com/office/drawing/2014/main" id="{8BD3EE8C-8EF0-48F9-A5C8-53D90E806266}"/>
            </a:ext>
          </a:extLst>
        </xdr:cNvPr>
        <xdr:cNvPicPr>
          <a:picLocks noChangeAspect="1"/>
        </xdr:cNvPicPr>
      </xdr:nvPicPr>
      <xdr:blipFill>
        <a:blip xmlns:r="http://schemas.openxmlformats.org/officeDocument/2006/relationships" r:embed="rId2"/>
        <a:stretch>
          <a:fillRect/>
        </a:stretch>
      </xdr:blipFill>
      <xdr:spPr>
        <a:xfrm>
          <a:off x="3770085" y="8659393"/>
          <a:ext cx="3750583" cy="689168"/>
        </a:xfrm>
        <a:prstGeom prst="rect">
          <a:avLst/>
        </a:prstGeom>
      </xdr:spPr>
    </xdr:pic>
    <xdr:clientData/>
  </xdr:twoCellAnchor>
  <xdr:twoCellAnchor editAs="oneCell">
    <xdr:from>
      <xdr:col>6</xdr:col>
      <xdr:colOff>73932</xdr:colOff>
      <xdr:row>47</xdr:row>
      <xdr:rowOff>50888</xdr:rowOff>
    </xdr:from>
    <xdr:to>
      <xdr:col>12</xdr:col>
      <xdr:colOff>241754</xdr:colOff>
      <xdr:row>61</xdr:row>
      <xdr:rowOff>181427</xdr:rowOff>
    </xdr:to>
    <xdr:pic>
      <xdr:nvPicPr>
        <xdr:cNvPr id="4" name="Picture 3">
          <a:extLst>
            <a:ext uri="{FF2B5EF4-FFF2-40B4-BE49-F238E27FC236}">
              <a16:creationId xmlns:a16="http://schemas.microsoft.com/office/drawing/2014/main" id="{B930B46F-C2C1-430E-B7D0-F4E813BDF3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731532" y="9490163"/>
          <a:ext cx="3825422" cy="27975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4</xdr:col>
      <xdr:colOff>184150</xdr:colOff>
      <xdr:row>53</xdr:row>
      <xdr:rowOff>38100</xdr:rowOff>
    </xdr:to>
    <xdr:pic>
      <xdr:nvPicPr>
        <xdr:cNvPr id="2" name="Picture 1">
          <a:extLst>
            <a:ext uri="{FF2B5EF4-FFF2-40B4-BE49-F238E27FC236}">
              <a16:creationId xmlns:a16="http://schemas.microsoft.com/office/drawing/2014/main" id="{0B16D677-8774-411E-9185-857D73B7D0C2}"/>
            </a:ext>
          </a:extLst>
        </xdr:cNvPr>
        <xdr:cNvPicPr>
          <a:picLocks noChangeAspect="1"/>
        </xdr:cNvPicPr>
      </xdr:nvPicPr>
      <xdr:blipFill>
        <a:blip xmlns:r="http://schemas.openxmlformats.org/officeDocument/2006/relationships" r:embed="rId1"/>
        <a:stretch>
          <a:fillRect/>
        </a:stretch>
      </xdr:blipFill>
      <xdr:spPr>
        <a:xfrm>
          <a:off x="352425" y="8686800"/>
          <a:ext cx="4327525" cy="1943100"/>
        </a:xfrm>
        <a:prstGeom prst="rect">
          <a:avLst/>
        </a:prstGeom>
      </xdr:spPr>
    </xdr:pic>
    <xdr:clientData/>
  </xdr:twoCellAnchor>
  <xdr:twoCellAnchor editAs="oneCell">
    <xdr:from>
      <xdr:col>4</xdr:col>
      <xdr:colOff>36285</xdr:colOff>
      <xdr:row>43</xdr:row>
      <xdr:rowOff>20218</xdr:rowOff>
    </xdr:from>
    <xdr:to>
      <xdr:col>13</xdr:col>
      <xdr:colOff>272143</xdr:colOff>
      <xdr:row>46</xdr:row>
      <xdr:rowOff>137886</xdr:rowOff>
    </xdr:to>
    <xdr:pic>
      <xdr:nvPicPr>
        <xdr:cNvPr id="3" name="Picture 2">
          <a:extLst>
            <a:ext uri="{FF2B5EF4-FFF2-40B4-BE49-F238E27FC236}">
              <a16:creationId xmlns:a16="http://schemas.microsoft.com/office/drawing/2014/main" id="{CD8C2D93-9B61-4DD5-AF99-526438559125}"/>
            </a:ext>
          </a:extLst>
        </xdr:cNvPr>
        <xdr:cNvPicPr>
          <a:picLocks noChangeAspect="1"/>
        </xdr:cNvPicPr>
      </xdr:nvPicPr>
      <xdr:blipFill>
        <a:blip xmlns:r="http://schemas.openxmlformats.org/officeDocument/2006/relationships" r:embed="rId2"/>
        <a:stretch>
          <a:fillRect/>
        </a:stretch>
      </xdr:blipFill>
      <xdr:spPr>
        <a:xfrm>
          <a:off x="4532085" y="8707018"/>
          <a:ext cx="3750583" cy="689168"/>
        </a:xfrm>
        <a:prstGeom prst="rect">
          <a:avLst/>
        </a:prstGeom>
      </xdr:spPr>
    </xdr:pic>
    <xdr:clientData/>
  </xdr:twoCellAnchor>
  <xdr:twoCellAnchor editAs="oneCell">
    <xdr:from>
      <xdr:col>3</xdr:col>
      <xdr:colOff>426357</xdr:colOff>
      <xdr:row>47</xdr:row>
      <xdr:rowOff>88988</xdr:rowOff>
    </xdr:from>
    <xdr:to>
      <xdr:col>13</xdr:col>
      <xdr:colOff>308429</xdr:colOff>
      <xdr:row>62</xdr:row>
      <xdr:rowOff>29027</xdr:rowOff>
    </xdr:to>
    <xdr:pic>
      <xdr:nvPicPr>
        <xdr:cNvPr id="4" name="Picture 3">
          <a:extLst>
            <a:ext uri="{FF2B5EF4-FFF2-40B4-BE49-F238E27FC236}">
              <a16:creationId xmlns:a16="http://schemas.microsoft.com/office/drawing/2014/main" id="{A107FCE2-EFFF-4AFD-BE37-0CBDE2D72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93532" y="9537788"/>
          <a:ext cx="3825422" cy="279753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4</xdr:col>
      <xdr:colOff>184150</xdr:colOff>
      <xdr:row>53</xdr:row>
      <xdr:rowOff>38100</xdr:rowOff>
    </xdr:to>
    <xdr:pic>
      <xdr:nvPicPr>
        <xdr:cNvPr id="2" name="Picture 1">
          <a:extLst>
            <a:ext uri="{FF2B5EF4-FFF2-40B4-BE49-F238E27FC236}">
              <a16:creationId xmlns:a16="http://schemas.microsoft.com/office/drawing/2014/main" id="{BB3F09FC-1D36-4C3A-9F63-1C5DD7B335DF}"/>
            </a:ext>
          </a:extLst>
        </xdr:cNvPr>
        <xdr:cNvPicPr>
          <a:picLocks noChangeAspect="1"/>
        </xdr:cNvPicPr>
      </xdr:nvPicPr>
      <xdr:blipFill>
        <a:blip xmlns:r="http://schemas.openxmlformats.org/officeDocument/2006/relationships" r:embed="rId1"/>
        <a:stretch>
          <a:fillRect/>
        </a:stretch>
      </xdr:blipFill>
      <xdr:spPr>
        <a:xfrm>
          <a:off x="352425" y="8686800"/>
          <a:ext cx="4327525" cy="1943100"/>
        </a:xfrm>
        <a:prstGeom prst="rect">
          <a:avLst/>
        </a:prstGeom>
      </xdr:spPr>
    </xdr:pic>
    <xdr:clientData/>
  </xdr:twoCellAnchor>
  <xdr:twoCellAnchor editAs="oneCell">
    <xdr:from>
      <xdr:col>4</xdr:col>
      <xdr:colOff>36285</xdr:colOff>
      <xdr:row>43</xdr:row>
      <xdr:rowOff>20218</xdr:rowOff>
    </xdr:from>
    <xdr:to>
      <xdr:col>13</xdr:col>
      <xdr:colOff>272143</xdr:colOff>
      <xdr:row>46</xdr:row>
      <xdr:rowOff>137886</xdr:rowOff>
    </xdr:to>
    <xdr:pic>
      <xdr:nvPicPr>
        <xdr:cNvPr id="3" name="Picture 2">
          <a:extLst>
            <a:ext uri="{FF2B5EF4-FFF2-40B4-BE49-F238E27FC236}">
              <a16:creationId xmlns:a16="http://schemas.microsoft.com/office/drawing/2014/main" id="{3C676F99-FD0F-4C65-9791-C5409B62BD57}"/>
            </a:ext>
          </a:extLst>
        </xdr:cNvPr>
        <xdr:cNvPicPr>
          <a:picLocks noChangeAspect="1"/>
        </xdr:cNvPicPr>
      </xdr:nvPicPr>
      <xdr:blipFill>
        <a:blip xmlns:r="http://schemas.openxmlformats.org/officeDocument/2006/relationships" r:embed="rId2"/>
        <a:stretch>
          <a:fillRect/>
        </a:stretch>
      </xdr:blipFill>
      <xdr:spPr>
        <a:xfrm>
          <a:off x="4532085" y="8707018"/>
          <a:ext cx="3750583" cy="689168"/>
        </a:xfrm>
        <a:prstGeom prst="rect">
          <a:avLst/>
        </a:prstGeom>
      </xdr:spPr>
    </xdr:pic>
    <xdr:clientData/>
  </xdr:twoCellAnchor>
  <xdr:twoCellAnchor editAs="oneCell">
    <xdr:from>
      <xdr:col>3</xdr:col>
      <xdr:colOff>426357</xdr:colOff>
      <xdr:row>47</xdr:row>
      <xdr:rowOff>88988</xdr:rowOff>
    </xdr:from>
    <xdr:to>
      <xdr:col>13</xdr:col>
      <xdr:colOff>308429</xdr:colOff>
      <xdr:row>62</xdr:row>
      <xdr:rowOff>29027</xdr:rowOff>
    </xdr:to>
    <xdr:pic>
      <xdr:nvPicPr>
        <xdr:cNvPr id="4" name="Picture 3">
          <a:extLst>
            <a:ext uri="{FF2B5EF4-FFF2-40B4-BE49-F238E27FC236}">
              <a16:creationId xmlns:a16="http://schemas.microsoft.com/office/drawing/2014/main" id="{9678230D-3201-4802-BB04-CB68032A335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93532" y="9537788"/>
          <a:ext cx="3825422" cy="279753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4</xdr:col>
      <xdr:colOff>184150</xdr:colOff>
      <xdr:row>53</xdr:row>
      <xdr:rowOff>38100</xdr:rowOff>
    </xdr:to>
    <xdr:pic>
      <xdr:nvPicPr>
        <xdr:cNvPr id="2" name="Picture 1">
          <a:extLst>
            <a:ext uri="{FF2B5EF4-FFF2-40B4-BE49-F238E27FC236}">
              <a16:creationId xmlns:a16="http://schemas.microsoft.com/office/drawing/2014/main" id="{4FA1B697-C8D9-45D2-960B-C098342CA80A}"/>
            </a:ext>
          </a:extLst>
        </xdr:cNvPr>
        <xdr:cNvPicPr>
          <a:picLocks noChangeAspect="1"/>
        </xdr:cNvPicPr>
      </xdr:nvPicPr>
      <xdr:blipFill>
        <a:blip xmlns:r="http://schemas.openxmlformats.org/officeDocument/2006/relationships" r:embed="rId1"/>
        <a:stretch>
          <a:fillRect/>
        </a:stretch>
      </xdr:blipFill>
      <xdr:spPr>
        <a:xfrm>
          <a:off x="352425" y="8686800"/>
          <a:ext cx="4327525" cy="1943100"/>
        </a:xfrm>
        <a:prstGeom prst="rect">
          <a:avLst/>
        </a:prstGeom>
      </xdr:spPr>
    </xdr:pic>
    <xdr:clientData/>
  </xdr:twoCellAnchor>
  <xdr:twoCellAnchor editAs="oneCell">
    <xdr:from>
      <xdr:col>4</xdr:col>
      <xdr:colOff>36285</xdr:colOff>
      <xdr:row>43</xdr:row>
      <xdr:rowOff>20218</xdr:rowOff>
    </xdr:from>
    <xdr:to>
      <xdr:col>13</xdr:col>
      <xdr:colOff>272143</xdr:colOff>
      <xdr:row>46</xdr:row>
      <xdr:rowOff>137886</xdr:rowOff>
    </xdr:to>
    <xdr:pic>
      <xdr:nvPicPr>
        <xdr:cNvPr id="3" name="Picture 2">
          <a:extLst>
            <a:ext uri="{FF2B5EF4-FFF2-40B4-BE49-F238E27FC236}">
              <a16:creationId xmlns:a16="http://schemas.microsoft.com/office/drawing/2014/main" id="{532BDE8A-10FB-488F-B40E-BA70F96D49A0}"/>
            </a:ext>
          </a:extLst>
        </xdr:cNvPr>
        <xdr:cNvPicPr>
          <a:picLocks noChangeAspect="1"/>
        </xdr:cNvPicPr>
      </xdr:nvPicPr>
      <xdr:blipFill>
        <a:blip xmlns:r="http://schemas.openxmlformats.org/officeDocument/2006/relationships" r:embed="rId2"/>
        <a:stretch>
          <a:fillRect/>
        </a:stretch>
      </xdr:blipFill>
      <xdr:spPr>
        <a:xfrm>
          <a:off x="4532085" y="8707018"/>
          <a:ext cx="3750583" cy="689168"/>
        </a:xfrm>
        <a:prstGeom prst="rect">
          <a:avLst/>
        </a:prstGeom>
      </xdr:spPr>
    </xdr:pic>
    <xdr:clientData/>
  </xdr:twoCellAnchor>
  <xdr:twoCellAnchor editAs="oneCell">
    <xdr:from>
      <xdr:col>3</xdr:col>
      <xdr:colOff>426357</xdr:colOff>
      <xdr:row>47</xdr:row>
      <xdr:rowOff>88988</xdr:rowOff>
    </xdr:from>
    <xdr:to>
      <xdr:col>13</xdr:col>
      <xdr:colOff>308429</xdr:colOff>
      <xdr:row>62</xdr:row>
      <xdr:rowOff>29027</xdr:rowOff>
    </xdr:to>
    <xdr:pic>
      <xdr:nvPicPr>
        <xdr:cNvPr id="4" name="Picture 3">
          <a:extLst>
            <a:ext uri="{FF2B5EF4-FFF2-40B4-BE49-F238E27FC236}">
              <a16:creationId xmlns:a16="http://schemas.microsoft.com/office/drawing/2014/main" id="{C9F44BDB-53BF-4039-9BBA-6306710F8A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93532" y="9537788"/>
          <a:ext cx="3825422" cy="279753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4</xdr:col>
      <xdr:colOff>184150</xdr:colOff>
      <xdr:row>53</xdr:row>
      <xdr:rowOff>38100</xdr:rowOff>
    </xdr:to>
    <xdr:pic>
      <xdr:nvPicPr>
        <xdr:cNvPr id="2" name="Picture 1">
          <a:extLst>
            <a:ext uri="{FF2B5EF4-FFF2-40B4-BE49-F238E27FC236}">
              <a16:creationId xmlns:a16="http://schemas.microsoft.com/office/drawing/2014/main" id="{BBC590DF-1FBF-4FA9-9593-710FF981169E}"/>
            </a:ext>
          </a:extLst>
        </xdr:cNvPr>
        <xdr:cNvPicPr>
          <a:picLocks noChangeAspect="1"/>
        </xdr:cNvPicPr>
      </xdr:nvPicPr>
      <xdr:blipFill>
        <a:blip xmlns:r="http://schemas.openxmlformats.org/officeDocument/2006/relationships" r:embed="rId1"/>
        <a:stretch>
          <a:fillRect/>
        </a:stretch>
      </xdr:blipFill>
      <xdr:spPr>
        <a:xfrm>
          <a:off x="352425" y="8686800"/>
          <a:ext cx="4327525" cy="1943100"/>
        </a:xfrm>
        <a:prstGeom prst="rect">
          <a:avLst/>
        </a:prstGeom>
      </xdr:spPr>
    </xdr:pic>
    <xdr:clientData/>
  </xdr:twoCellAnchor>
  <xdr:twoCellAnchor editAs="oneCell">
    <xdr:from>
      <xdr:col>4</xdr:col>
      <xdr:colOff>36285</xdr:colOff>
      <xdr:row>43</xdr:row>
      <xdr:rowOff>20218</xdr:rowOff>
    </xdr:from>
    <xdr:to>
      <xdr:col>13</xdr:col>
      <xdr:colOff>272143</xdr:colOff>
      <xdr:row>46</xdr:row>
      <xdr:rowOff>137886</xdr:rowOff>
    </xdr:to>
    <xdr:pic>
      <xdr:nvPicPr>
        <xdr:cNvPr id="3" name="Picture 2">
          <a:extLst>
            <a:ext uri="{FF2B5EF4-FFF2-40B4-BE49-F238E27FC236}">
              <a16:creationId xmlns:a16="http://schemas.microsoft.com/office/drawing/2014/main" id="{44BAE9E7-7926-4FD1-A766-0D435CB02498}"/>
            </a:ext>
          </a:extLst>
        </xdr:cNvPr>
        <xdr:cNvPicPr>
          <a:picLocks noChangeAspect="1"/>
        </xdr:cNvPicPr>
      </xdr:nvPicPr>
      <xdr:blipFill>
        <a:blip xmlns:r="http://schemas.openxmlformats.org/officeDocument/2006/relationships" r:embed="rId2"/>
        <a:stretch>
          <a:fillRect/>
        </a:stretch>
      </xdr:blipFill>
      <xdr:spPr>
        <a:xfrm>
          <a:off x="4532085" y="8707018"/>
          <a:ext cx="3750583" cy="689168"/>
        </a:xfrm>
        <a:prstGeom prst="rect">
          <a:avLst/>
        </a:prstGeom>
      </xdr:spPr>
    </xdr:pic>
    <xdr:clientData/>
  </xdr:twoCellAnchor>
  <xdr:twoCellAnchor editAs="oneCell">
    <xdr:from>
      <xdr:col>3</xdr:col>
      <xdr:colOff>426357</xdr:colOff>
      <xdr:row>47</xdr:row>
      <xdr:rowOff>88988</xdr:rowOff>
    </xdr:from>
    <xdr:to>
      <xdr:col>13</xdr:col>
      <xdr:colOff>308429</xdr:colOff>
      <xdr:row>62</xdr:row>
      <xdr:rowOff>29027</xdr:rowOff>
    </xdr:to>
    <xdr:pic>
      <xdr:nvPicPr>
        <xdr:cNvPr id="4" name="Picture 3">
          <a:extLst>
            <a:ext uri="{FF2B5EF4-FFF2-40B4-BE49-F238E27FC236}">
              <a16:creationId xmlns:a16="http://schemas.microsoft.com/office/drawing/2014/main" id="{84CED6D6-BABC-4078-97A7-C805CC1FE4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93532" y="9537788"/>
          <a:ext cx="3825422" cy="279753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4</xdr:col>
      <xdr:colOff>184150</xdr:colOff>
      <xdr:row>53</xdr:row>
      <xdr:rowOff>38100</xdr:rowOff>
    </xdr:to>
    <xdr:pic>
      <xdr:nvPicPr>
        <xdr:cNvPr id="2" name="Picture 1">
          <a:extLst>
            <a:ext uri="{FF2B5EF4-FFF2-40B4-BE49-F238E27FC236}">
              <a16:creationId xmlns:a16="http://schemas.microsoft.com/office/drawing/2014/main" id="{0BF3A7DA-4973-4CB9-BB0B-997AA3D2A336}"/>
            </a:ext>
          </a:extLst>
        </xdr:cNvPr>
        <xdr:cNvPicPr>
          <a:picLocks noChangeAspect="1"/>
        </xdr:cNvPicPr>
      </xdr:nvPicPr>
      <xdr:blipFill>
        <a:blip xmlns:r="http://schemas.openxmlformats.org/officeDocument/2006/relationships" r:embed="rId1"/>
        <a:stretch>
          <a:fillRect/>
        </a:stretch>
      </xdr:blipFill>
      <xdr:spPr>
        <a:xfrm>
          <a:off x="352425" y="8686800"/>
          <a:ext cx="4327525" cy="1943100"/>
        </a:xfrm>
        <a:prstGeom prst="rect">
          <a:avLst/>
        </a:prstGeom>
      </xdr:spPr>
    </xdr:pic>
    <xdr:clientData/>
  </xdr:twoCellAnchor>
  <xdr:twoCellAnchor editAs="oneCell">
    <xdr:from>
      <xdr:col>4</xdr:col>
      <xdr:colOff>36285</xdr:colOff>
      <xdr:row>43</xdr:row>
      <xdr:rowOff>20218</xdr:rowOff>
    </xdr:from>
    <xdr:to>
      <xdr:col>13</xdr:col>
      <xdr:colOff>272143</xdr:colOff>
      <xdr:row>46</xdr:row>
      <xdr:rowOff>137886</xdr:rowOff>
    </xdr:to>
    <xdr:pic>
      <xdr:nvPicPr>
        <xdr:cNvPr id="3" name="Picture 2">
          <a:extLst>
            <a:ext uri="{FF2B5EF4-FFF2-40B4-BE49-F238E27FC236}">
              <a16:creationId xmlns:a16="http://schemas.microsoft.com/office/drawing/2014/main" id="{C239A757-4792-4EAD-A4ED-226327CD27BD}"/>
            </a:ext>
          </a:extLst>
        </xdr:cNvPr>
        <xdr:cNvPicPr>
          <a:picLocks noChangeAspect="1"/>
        </xdr:cNvPicPr>
      </xdr:nvPicPr>
      <xdr:blipFill>
        <a:blip xmlns:r="http://schemas.openxmlformats.org/officeDocument/2006/relationships" r:embed="rId2"/>
        <a:stretch>
          <a:fillRect/>
        </a:stretch>
      </xdr:blipFill>
      <xdr:spPr>
        <a:xfrm>
          <a:off x="4532085" y="8707018"/>
          <a:ext cx="3750583" cy="689168"/>
        </a:xfrm>
        <a:prstGeom prst="rect">
          <a:avLst/>
        </a:prstGeom>
      </xdr:spPr>
    </xdr:pic>
    <xdr:clientData/>
  </xdr:twoCellAnchor>
  <xdr:twoCellAnchor editAs="oneCell">
    <xdr:from>
      <xdr:col>3</xdr:col>
      <xdr:colOff>426357</xdr:colOff>
      <xdr:row>47</xdr:row>
      <xdr:rowOff>88988</xdr:rowOff>
    </xdr:from>
    <xdr:to>
      <xdr:col>13</xdr:col>
      <xdr:colOff>308429</xdr:colOff>
      <xdr:row>62</xdr:row>
      <xdr:rowOff>29027</xdr:rowOff>
    </xdr:to>
    <xdr:pic>
      <xdr:nvPicPr>
        <xdr:cNvPr id="4" name="Picture 3">
          <a:extLst>
            <a:ext uri="{FF2B5EF4-FFF2-40B4-BE49-F238E27FC236}">
              <a16:creationId xmlns:a16="http://schemas.microsoft.com/office/drawing/2014/main" id="{8034A5D9-217C-4AF9-A3B2-9566BE51AE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93532" y="9537788"/>
          <a:ext cx="3825422" cy="279753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276225</xdr:colOff>
      <xdr:row>49</xdr:row>
      <xdr:rowOff>57150</xdr:rowOff>
    </xdr:from>
    <xdr:to>
      <xdr:col>4</xdr:col>
      <xdr:colOff>107950</xdr:colOff>
      <xdr:row>59</xdr:row>
      <xdr:rowOff>95250</xdr:rowOff>
    </xdr:to>
    <xdr:pic>
      <xdr:nvPicPr>
        <xdr:cNvPr id="2" name="Picture 1">
          <a:extLst>
            <a:ext uri="{FF2B5EF4-FFF2-40B4-BE49-F238E27FC236}">
              <a16:creationId xmlns:a16="http://schemas.microsoft.com/office/drawing/2014/main" id="{235E1C04-E931-4090-B91B-3EA476C1E3BA}"/>
            </a:ext>
          </a:extLst>
        </xdr:cNvPr>
        <xdr:cNvPicPr>
          <a:picLocks noChangeAspect="1"/>
        </xdr:cNvPicPr>
      </xdr:nvPicPr>
      <xdr:blipFill>
        <a:blip xmlns:r="http://schemas.openxmlformats.org/officeDocument/2006/relationships" r:embed="rId1"/>
        <a:stretch>
          <a:fillRect/>
        </a:stretch>
      </xdr:blipFill>
      <xdr:spPr>
        <a:xfrm>
          <a:off x="276225" y="9944100"/>
          <a:ext cx="4327525" cy="1943100"/>
        </a:xfrm>
        <a:prstGeom prst="rect">
          <a:avLst/>
        </a:prstGeom>
      </xdr:spPr>
    </xdr:pic>
    <xdr:clientData/>
  </xdr:twoCellAnchor>
  <xdr:twoCellAnchor editAs="oneCell">
    <xdr:from>
      <xdr:col>11</xdr:col>
      <xdr:colOff>350610</xdr:colOff>
      <xdr:row>51</xdr:row>
      <xdr:rowOff>67843</xdr:rowOff>
    </xdr:from>
    <xdr:to>
      <xdr:col>21</xdr:col>
      <xdr:colOff>195943</xdr:colOff>
      <xdr:row>54</xdr:row>
      <xdr:rowOff>185511</xdr:rowOff>
    </xdr:to>
    <xdr:pic>
      <xdr:nvPicPr>
        <xdr:cNvPr id="3" name="Picture 2">
          <a:extLst>
            <a:ext uri="{FF2B5EF4-FFF2-40B4-BE49-F238E27FC236}">
              <a16:creationId xmlns:a16="http://schemas.microsoft.com/office/drawing/2014/main" id="{7221571F-127D-4044-AE85-02A17B4E9BA6}"/>
            </a:ext>
          </a:extLst>
        </xdr:cNvPr>
        <xdr:cNvPicPr>
          <a:picLocks noChangeAspect="1"/>
        </xdr:cNvPicPr>
      </xdr:nvPicPr>
      <xdr:blipFill>
        <a:blip xmlns:r="http://schemas.openxmlformats.org/officeDocument/2006/relationships" r:embed="rId2"/>
        <a:stretch>
          <a:fillRect/>
        </a:stretch>
      </xdr:blipFill>
      <xdr:spPr>
        <a:xfrm>
          <a:off x="7580085" y="10335793"/>
          <a:ext cx="3750583" cy="689168"/>
        </a:xfrm>
        <a:prstGeom prst="rect">
          <a:avLst/>
        </a:prstGeom>
      </xdr:spPr>
    </xdr:pic>
    <xdr:clientData/>
  </xdr:twoCellAnchor>
  <xdr:twoCellAnchor editAs="oneCell">
    <xdr:from>
      <xdr:col>1</xdr:col>
      <xdr:colOff>3140982</xdr:colOff>
      <xdr:row>47</xdr:row>
      <xdr:rowOff>69938</xdr:rowOff>
    </xdr:from>
    <xdr:to>
      <xdr:col>11</xdr:col>
      <xdr:colOff>89354</xdr:colOff>
      <xdr:row>62</xdr:row>
      <xdr:rowOff>9977</xdr:rowOff>
    </xdr:to>
    <xdr:pic>
      <xdr:nvPicPr>
        <xdr:cNvPr id="4" name="Picture 3">
          <a:extLst>
            <a:ext uri="{FF2B5EF4-FFF2-40B4-BE49-F238E27FC236}">
              <a16:creationId xmlns:a16="http://schemas.microsoft.com/office/drawing/2014/main" id="{D650B581-264C-4551-96E9-8D5478C3726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493407" y="9575888"/>
          <a:ext cx="3825422" cy="279753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276225</xdr:colOff>
      <xdr:row>49</xdr:row>
      <xdr:rowOff>57150</xdr:rowOff>
    </xdr:from>
    <xdr:to>
      <xdr:col>4</xdr:col>
      <xdr:colOff>107950</xdr:colOff>
      <xdr:row>59</xdr:row>
      <xdr:rowOff>95250</xdr:rowOff>
    </xdr:to>
    <xdr:pic>
      <xdr:nvPicPr>
        <xdr:cNvPr id="2" name="Picture 1">
          <a:extLst>
            <a:ext uri="{FF2B5EF4-FFF2-40B4-BE49-F238E27FC236}">
              <a16:creationId xmlns:a16="http://schemas.microsoft.com/office/drawing/2014/main" id="{FC969F50-EFE2-49BF-A49A-513491F97580}"/>
            </a:ext>
          </a:extLst>
        </xdr:cNvPr>
        <xdr:cNvPicPr>
          <a:picLocks noChangeAspect="1"/>
        </xdr:cNvPicPr>
      </xdr:nvPicPr>
      <xdr:blipFill>
        <a:blip xmlns:r="http://schemas.openxmlformats.org/officeDocument/2006/relationships" r:embed="rId1"/>
        <a:stretch>
          <a:fillRect/>
        </a:stretch>
      </xdr:blipFill>
      <xdr:spPr>
        <a:xfrm>
          <a:off x="276225" y="9944100"/>
          <a:ext cx="4327525" cy="1943100"/>
        </a:xfrm>
        <a:prstGeom prst="rect">
          <a:avLst/>
        </a:prstGeom>
      </xdr:spPr>
    </xdr:pic>
    <xdr:clientData/>
  </xdr:twoCellAnchor>
  <xdr:twoCellAnchor editAs="oneCell">
    <xdr:from>
      <xdr:col>11</xdr:col>
      <xdr:colOff>350610</xdr:colOff>
      <xdr:row>51</xdr:row>
      <xdr:rowOff>67843</xdr:rowOff>
    </xdr:from>
    <xdr:to>
      <xdr:col>21</xdr:col>
      <xdr:colOff>195943</xdr:colOff>
      <xdr:row>54</xdr:row>
      <xdr:rowOff>185511</xdr:rowOff>
    </xdr:to>
    <xdr:pic>
      <xdr:nvPicPr>
        <xdr:cNvPr id="3" name="Picture 2">
          <a:extLst>
            <a:ext uri="{FF2B5EF4-FFF2-40B4-BE49-F238E27FC236}">
              <a16:creationId xmlns:a16="http://schemas.microsoft.com/office/drawing/2014/main" id="{A05B48E4-5C09-4E03-A3B6-7211F8603942}"/>
            </a:ext>
          </a:extLst>
        </xdr:cNvPr>
        <xdr:cNvPicPr>
          <a:picLocks noChangeAspect="1"/>
        </xdr:cNvPicPr>
      </xdr:nvPicPr>
      <xdr:blipFill>
        <a:blip xmlns:r="http://schemas.openxmlformats.org/officeDocument/2006/relationships" r:embed="rId2"/>
        <a:stretch>
          <a:fillRect/>
        </a:stretch>
      </xdr:blipFill>
      <xdr:spPr>
        <a:xfrm>
          <a:off x="7580085" y="10335793"/>
          <a:ext cx="3750583" cy="689168"/>
        </a:xfrm>
        <a:prstGeom prst="rect">
          <a:avLst/>
        </a:prstGeom>
      </xdr:spPr>
    </xdr:pic>
    <xdr:clientData/>
  </xdr:twoCellAnchor>
  <xdr:twoCellAnchor editAs="oneCell">
    <xdr:from>
      <xdr:col>1</xdr:col>
      <xdr:colOff>3140982</xdr:colOff>
      <xdr:row>47</xdr:row>
      <xdr:rowOff>69938</xdr:rowOff>
    </xdr:from>
    <xdr:to>
      <xdr:col>11</xdr:col>
      <xdr:colOff>89354</xdr:colOff>
      <xdr:row>62</xdr:row>
      <xdr:rowOff>9977</xdr:rowOff>
    </xdr:to>
    <xdr:pic>
      <xdr:nvPicPr>
        <xdr:cNvPr id="4" name="Picture 3">
          <a:extLst>
            <a:ext uri="{FF2B5EF4-FFF2-40B4-BE49-F238E27FC236}">
              <a16:creationId xmlns:a16="http://schemas.microsoft.com/office/drawing/2014/main" id="{50EF9A13-FE52-4136-953C-82B0B8E30AD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493407" y="9575888"/>
          <a:ext cx="3825422" cy="279753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54429</xdr:colOff>
      <xdr:row>49</xdr:row>
      <xdr:rowOff>36286</xdr:rowOff>
    </xdr:from>
    <xdr:to>
      <xdr:col>8</xdr:col>
      <xdr:colOff>109102</xdr:colOff>
      <xdr:row>49</xdr:row>
      <xdr:rowOff>328369</xdr:rowOff>
    </xdr:to>
    <xdr:pic>
      <xdr:nvPicPr>
        <xdr:cNvPr id="2" name="Picture 2">
          <a:extLst>
            <a:ext uri="{FF2B5EF4-FFF2-40B4-BE49-F238E27FC236}">
              <a16:creationId xmlns:a16="http://schemas.microsoft.com/office/drawing/2014/main" id="{83EB6DE2-5A9C-6B49-9739-70EB50AFC4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rot="-171613">
          <a:off x="3719286" y="12346215"/>
          <a:ext cx="2449530" cy="2920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79C48-C0C7-DA40-8CDB-790B5D9DFC2C}">
  <dimension ref="A3:AI39"/>
  <sheetViews>
    <sheetView view="pageBreakPreview" zoomScaleNormal="100" zoomScaleSheetLayoutView="100" workbookViewId="0">
      <selection activeCell="A5" sqref="A5:V5"/>
    </sheetView>
  </sheetViews>
  <sheetFormatPr defaultColWidth="11.43359375" defaultRowHeight="15" x14ac:dyDescent="0.2"/>
  <cols>
    <col min="1" max="1" width="5.24609375" customWidth="1"/>
    <col min="2" max="2" width="48.42578125" bestFit="1" customWidth="1"/>
    <col min="3" max="3" width="7.80078125" customWidth="1"/>
    <col min="4" max="22" width="5.91796875" customWidth="1"/>
  </cols>
  <sheetData>
    <row r="3" spans="1:35" ht="21.75" x14ac:dyDescent="0.3">
      <c r="A3" s="181" t="s">
        <v>420</v>
      </c>
      <c r="B3" s="181"/>
      <c r="C3" s="181"/>
      <c r="D3" s="181"/>
      <c r="E3" s="181"/>
      <c r="F3" s="181"/>
      <c r="G3" s="181"/>
      <c r="H3" s="181"/>
      <c r="I3" s="181"/>
      <c r="J3" s="181"/>
      <c r="K3" s="181"/>
      <c r="L3" s="181"/>
      <c r="M3" s="181"/>
      <c r="N3" s="181"/>
      <c r="O3" s="181"/>
      <c r="P3" s="181"/>
      <c r="Q3" s="181"/>
      <c r="R3" s="181"/>
      <c r="S3" s="181"/>
      <c r="T3" s="181"/>
      <c r="U3" s="181"/>
      <c r="V3" s="181"/>
      <c r="W3" s="160"/>
      <c r="X3" s="160"/>
      <c r="Y3" s="160"/>
      <c r="Z3" s="160"/>
      <c r="AA3" s="160"/>
      <c r="AB3" s="160"/>
      <c r="AC3" s="160"/>
      <c r="AD3" s="160"/>
      <c r="AE3" s="160"/>
      <c r="AF3" s="160"/>
      <c r="AG3" s="160"/>
      <c r="AH3" s="160"/>
      <c r="AI3" s="160"/>
    </row>
    <row r="4" spans="1:35" ht="18.75" x14ac:dyDescent="0.25">
      <c r="A4" s="182" t="s">
        <v>421</v>
      </c>
      <c r="B4" s="182"/>
      <c r="C4" s="182"/>
      <c r="D4" s="182"/>
      <c r="E4" s="182"/>
      <c r="F4" s="182"/>
      <c r="G4" s="182"/>
      <c r="H4" s="182"/>
      <c r="I4" s="182"/>
      <c r="J4" s="182"/>
      <c r="K4" s="182"/>
      <c r="L4" s="182"/>
      <c r="M4" s="182"/>
      <c r="N4" s="182"/>
      <c r="O4" s="182"/>
      <c r="P4" s="182"/>
      <c r="Q4" s="182"/>
      <c r="R4" s="182"/>
      <c r="S4" s="182"/>
      <c r="T4" s="182"/>
      <c r="U4" s="182"/>
      <c r="V4" s="182"/>
      <c r="W4" s="161"/>
      <c r="X4" s="161"/>
      <c r="Y4" s="161"/>
      <c r="Z4" s="161"/>
      <c r="AA4" s="161"/>
      <c r="AB4" s="161"/>
      <c r="AC4" s="161"/>
      <c r="AD4" s="161"/>
      <c r="AE4" s="161"/>
      <c r="AF4" s="161"/>
      <c r="AG4" s="161"/>
      <c r="AH4" s="161"/>
      <c r="AI4" s="161"/>
    </row>
    <row r="5" spans="1:35" ht="18.75" x14ac:dyDescent="0.25">
      <c r="A5" s="182" t="s">
        <v>422</v>
      </c>
      <c r="B5" s="182"/>
      <c r="C5" s="182"/>
      <c r="D5" s="182"/>
      <c r="E5" s="182"/>
      <c r="F5" s="182"/>
      <c r="G5" s="182"/>
      <c r="H5" s="182"/>
      <c r="I5" s="182"/>
      <c r="J5" s="182"/>
      <c r="K5" s="182"/>
      <c r="L5" s="182"/>
      <c r="M5" s="182"/>
      <c r="N5" s="182"/>
      <c r="O5" s="182"/>
      <c r="P5" s="182"/>
      <c r="Q5" s="182"/>
      <c r="R5" s="182"/>
      <c r="S5" s="182"/>
      <c r="T5" s="182"/>
      <c r="U5" s="182"/>
      <c r="V5" s="182"/>
      <c r="W5" s="161"/>
      <c r="X5" s="161"/>
      <c r="Y5" s="161"/>
      <c r="Z5" s="161"/>
      <c r="AA5" s="161"/>
      <c r="AB5" s="161"/>
      <c r="AC5" s="161"/>
      <c r="AD5" s="161"/>
      <c r="AE5" s="161"/>
      <c r="AF5" s="161"/>
      <c r="AG5" s="161"/>
      <c r="AH5" s="161"/>
      <c r="AI5" s="161"/>
    </row>
    <row r="6" spans="1:35" x14ac:dyDescent="0.2">
      <c r="A6" s="186"/>
      <c r="B6" s="186"/>
      <c r="C6" s="186"/>
      <c r="D6" s="186"/>
      <c r="E6" s="186"/>
      <c r="F6" s="186"/>
      <c r="G6" s="186"/>
      <c r="H6" s="186"/>
      <c r="I6" s="186"/>
      <c r="J6" s="186"/>
      <c r="K6" s="186"/>
      <c r="L6" s="186"/>
      <c r="M6" s="186"/>
      <c r="N6" s="186"/>
      <c r="O6" s="186"/>
      <c r="P6" s="186"/>
      <c r="Q6" s="186"/>
      <c r="R6" s="186"/>
      <c r="S6" s="186"/>
      <c r="T6" s="186"/>
      <c r="U6" s="186"/>
      <c r="V6" s="186"/>
    </row>
    <row r="7" spans="1:35" x14ac:dyDescent="0.2">
      <c r="A7" s="187" t="s">
        <v>0</v>
      </c>
      <c r="B7" s="187" t="s">
        <v>379</v>
      </c>
      <c r="C7" s="187" t="s">
        <v>2</v>
      </c>
      <c r="D7" s="187" t="s">
        <v>417</v>
      </c>
      <c r="E7" s="187"/>
      <c r="F7" s="187"/>
      <c r="G7" s="183" t="s">
        <v>418</v>
      </c>
      <c r="H7" s="184"/>
      <c r="I7" s="184"/>
      <c r="J7" s="184"/>
      <c r="K7" s="184"/>
      <c r="L7" s="184"/>
      <c r="M7" s="184"/>
      <c r="N7" s="184"/>
      <c r="O7" s="184"/>
      <c r="P7" s="184"/>
      <c r="Q7" s="184"/>
      <c r="R7" s="184"/>
      <c r="S7" s="184"/>
      <c r="T7" s="184"/>
      <c r="U7" s="184"/>
      <c r="V7" s="185"/>
    </row>
    <row r="8" spans="1:35" x14ac:dyDescent="0.2">
      <c r="A8" s="187"/>
      <c r="B8" s="187"/>
      <c r="C8" s="187"/>
      <c r="D8" s="162">
        <v>1</v>
      </c>
      <c r="E8" s="162">
        <v>2</v>
      </c>
      <c r="F8" s="162">
        <v>3</v>
      </c>
      <c r="G8" s="162">
        <v>1</v>
      </c>
      <c r="H8" s="162">
        <v>2</v>
      </c>
      <c r="I8" s="162">
        <v>3</v>
      </c>
      <c r="J8" s="162">
        <v>4</v>
      </c>
      <c r="K8" s="162">
        <v>5</v>
      </c>
      <c r="L8" s="162">
        <v>6</v>
      </c>
      <c r="M8" s="162">
        <v>7</v>
      </c>
      <c r="N8" s="162">
        <v>8</v>
      </c>
      <c r="O8" s="162">
        <v>9</v>
      </c>
      <c r="P8" s="162">
        <v>10</v>
      </c>
      <c r="Q8" s="162">
        <v>11</v>
      </c>
      <c r="R8" s="162">
        <v>12</v>
      </c>
      <c r="S8" s="162">
        <v>13</v>
      </c>
      <c r="T8" s="162">
        <v>14</v>
      </c>
      <c r="U8" s="162">
        <v>15</v>
      </c>
      <c r="V8" s="162">
        <v>16</v>
      </c>
    </row>
    <row r="9" spans="1:35" x14ac:dyDescent="0.2">
      <c r="A9" s="158">
        <v>1</v>
      </c>
      <c r="B9" s="171" t="s">
        <v>386</v>
      </c>
      <c r="C9" s="174">
        <v>115</v>
      </c>
      <c r="D9" s="176">
        <v>35</v>
      </c>
      <c r="E9" s="176">
        <v>35</v>
      </c>
      <c r="F9" s="176">
        <v>35</v>
      </c>
      <c r="G9" s="177">
        <v>7</v>
      </c>
      <c r="H9" s="177">
        <v>11</v>
      </c>
      <c r="I9" s="177">
        <v>12</v>
      </c>
      <c r="J9" s="177">
        <v>15</v>
      </c>
      <c r="K9" s="177">
        <v>12</v>
      </c>
      <c r="L9" s="177">
        <v>9</v>
      </c>
      <c r="M9" s="177">
        <v>16</v>
      </c>
      <c r="N9" s="177">
        <v>12</v>
      </c>
      <c r="O9" s="177">
        <v>13</v>
      </c>
      <c r="P9" s="177">
        <v>10</v>
      </c>
      <c r="Q9" s="177">
        <v>16</v>
      </c>
      <c r="R9" s="177">
        <v>9</v>
      </c>
      <c r="S9" s="177">
        <v>14</v>
      </c>
      <c r="T9" s="177">
        <v>17</v>
      </c>
      <c r="U9" s="177">
        <v>11</v>
      </c>
      <c r="V9" s="177">
        <v>16</v>
      </c>
    </row>
    <row r="10" spans="1:35" x14ac:dyDescent="0.2">
      <c r="A10" s="158">
        <v>2</v>
      </c>
      <c r="B10" s="171" t="s">
        <v>387</v>
      </c>
      <c r="C10" s="174">
        <v>85</v>
      </c>
      <c r="D10" s="176">
        <v>35</v>
      </c>
      <c r="E10" s="176">
        <v>35</v>
      </c>
      <c r="F10" s="176">
        <v>35</v>
      </c>
      <c r="G10" s="177">
        <v>5</v>
      </c>
      <c r="H10" s="177">
        <v>13</v>
      </c>
      <c r="I10" s="177">
        <v>10</v>
      </c>
      <c r="J10" s="177">
        <v>11</v>
      </c>
      <c r="K10" s="177">
        <v>14</v>
      </c>
      <c r="L10" s="177">
        <v>11</v>
      </c>
      <c r="M10" s="177">
        <v>16</v>
      </c>
      <c r="N10" s="177">
        <v>21</v>
      </c>
      <c r="O10" s="177">
        <v>11</v>
      </c>
      <c r="P10" s="177">
        <v>13</v>
      </c>
      <c r="Q10" s="177">
        <v>12</v>
      </c>
      <c r="R10" s="177">
        <v>9</v>
      </c>
      <c r="S10" s="177">
        <v>16</v>
      </c>
      <c r="T10" s="177">
        <v>13</v>
      </c>
      <c r="U10" s="177">
        <v>11</v>
      </c>
      <c r="V10" s="177">
        <v>13</v>
      </c>
    </row>
    <row r="11" spans="1:35" x14ac:dyDescent="0.2">
      <c r="A11" s="158">
        <v>3</v>
      </c>
      <c r="B11" s="171" t="s">
        <v>388</v>
      </c>
      <c r="C11" s="174">
        <v>105</v>
      </c>
      <c r="D11" s="176">
        <v>35</v>
      </c>
      <c r="E11" s="176">
        <v>35</v>
      </c>
      <c r="F11" s="176">
        <v>35</v>
      </c>
      <c r="G11" s="177">
        <v>10</v>
      </c>
      <c r="H11" s="177">
        <v>14</v>
      </c>
      <c r="I11" s="177">
        <v>11</v>
      </c>
      <c r="J11" s="177">
        <v>15</v>
      </c>
      <c r="K11" s="177">
        <v>13</v>
      </c>
      <c r="L11" s="177">
        <v>12</v>
      </c>
      <c r="M11" s="177">
        <v>10</v>
      </c>
      <c r="N11" s="177">
        <v>17</v>
      </c>
      <c r="O11" s="177">
        <v>9</v>
      </c>
      <c r="P11" s="177">
        <v>13</v>
      </c>
      <c r="Q11" s="177">
        <v>10</v>
      </c>
      <c r="R11" s="177">
        <v>11</v>
      </c>
      <c r="S11" s="177">
        <v>12</v>
      </c>
      <c r="T11" s="177">
        <v>12</v>
      </c>
      <c r="U11" s="177">
        <v>18</v>
      </c>
      <c r="V11" s="177">
        <v>18</v>
      </c>
    </row>
    <row r="12" spans="1:35" x14ac:dyDescent="0.2">
      <c r="A12" s="158">
        <v>4</v>
      </c>
      <c r="B12" s="171" t="s">
        <v>389</v>
      </c>
      <c r="C12" s="174">
        <v>80</v>
      </c>
      <c r="D12" s="176">
        <v>35</v>
      </c>
      <c r="E12" s="176">
        <v>80</v>
      </c>
      <c r="F12" s="176">
        <v>35</v>
      </c>
      <c r="G12" s="177">
        <v>9</v>
      </c>
      <c r="H12" s="177">
        <v>10</v>
      </c>
      <c r="I12" s="177">
        <v>13</v>
      </c>
      <c r="J12" s="177">
        <v>12</v>
      </c>
      <c r="K12" s="177">
        <v>15</v>
      </c>
      <c r="L12" s="177">
        <v>12</v>
      </c>
      <c r="M12" s="177">
        <v>14</v>
      </c>
      <c r="N12" s="177">
        <v>18</v>
      </c>
      <c r="O12" s="177">
        <v>14</v>
      </c>
      <c r="P12" s="177">
        <v>16</v>
      </c>
      <c r="Q12" s="177">
        <v>13</v>
      </c>
      <c r="R12" s="177">
        <v>11</v>
      </c>
      <c r="S12" s="177">
        <v>15</v>
      </c>
      <c r="T12" s="177">
        <v>8</v>
      </c>
      <c r="U12" s="177">
        <v>11</v>
      </c>
      <c r="V12" s="177">
        <v>15</v>
      </c>
    </row>
    <row r="13" spans="1:35" x14ac:dyDescent="0.2">
      <c r="A13" s="158">
        <v>5</v>
      </c>
      <c r="B13" s="171" t="s">
        <v>390</v>
      </c>
      <c r="C13" s="174">
        <v>123</v>
      </c>
      <c r="D13" s="176">
        <v>35</v>
      </c>
      <c r="E13" s="176">
        <v>35</v>
      </c>
      <c r="F13" s="176">
        <v>35</v>
      </c>
      <c r="G13" s="177">
        <v>8</v>
      </c>
      <c r="H13" s="177">
        <v>9</v>
      </c>
      <c r="I13" s="177">
        <v>11</v>
      </c>
      <c r="J13" s="177">
        <v>12</v>
      </c>
      <c r="K13" s="177">
        <v>11</v>
      </c>
      <c r="L13" s="177">
        <v>13</v>
      </c>
      <c r="M13" s="177">
        <v>18</v>
      </c>
      <c r="N13" s="177">
        <v>16</v>
      </c>
      <c r="O13" s="177">
        <v>18</v>
      </c>
      <c r="P13" s="177">
        <v>13</v>
      </c>
      <c r="Q13" s="177">
        <v>12</v>
      </c>
      <c r="R13" s="177">
        <v>15</v>
      </c>
      <c r="S13" s="177">
        <v>13</v>
      </c>
      <c r="T13" s="177">
        <v>12</v>
      </c>
      <c r="U13" s="177">
        <v>10</v>
      </c>
      <c r="V13" s="177">
        <v>12</v>
      </c>
    </row>
    <row r="14" spans="1:35" x14ac:dyDescent="0.2">
      <c r="A14" s="158">
        <v>6</v>
      </c>
      <c r="B14" s="171" t="s">
        <v>391</v>
      </c>
      <c r="C14" s="174">
        <v>80</v>
      </c>
      <c r="D14" s="176">
        <v>35</v>
      </c>
      <c r="E14" s="176">
        <v>80</v>
      </c>
      <c r="F14" s="176">
        <v>65</v>
      </c>
      <c r="G14" s="177">
        <v>5</v>
      </c>
      <c r="H14" s="177">
        <v>12</v>
      </c>
      <c r="I14" s="177">
        <v>12</v>
      </c>
      <c r="J14" s="177">
        <v>14</v>
      </c>
      <c r="K14" s="177">
        <v>15</v>
      </c>
      <c r="L14" s="177">
        <v>9</v>
      </c>
      <c r="M14" s="177">
        <v>13</v>
      </c>
      <c r="N14" s="177">
        <v>17</v>
      </c>
      <c r="O14" s="177">
        <v>8</v>
      </c>
      <c r="P14" s="177">
        <v>14</v>
      </c>
      <c r="Q14" s="177">
        <v>16</v>
      </c>
      <c r="R14" s="177">
        <v>12</v>
      </c>
      <c r="S14" s="177">
        <v>14</v>
      </c>
      <c r="T14" s="177">
        <v>13</v>
      </c>
      <c r="U14" s="177">
        <v>11</v>
      </c>
      <c r="V14" s="177">
        <v>13</v>
      </c>
    </row>
    <row r="15" spans="1:35" x14ac:dyDescent="0.2">
      <c r="A15" s="158">
        <v>7</v>
      </c>
      <c r="B15" s="171" t="s">
        <v>392</v>
      </c>
      <c r="C15" s="174">
        <v>119</v>
      </c>
      <c r="D15" s="176">
        <v>35</v>
      </c>
      <c r="E15" s="176">
        <v>35</v>
      </c>
      <c r="F15" s="176">
        <v>35</v>
      </c>
      <c r="G15" s="177">
        <v>9</v>
      </c>
      <c r="H15" s="177">
        <v>8</v>
      </c>
      <c r="I15" s="177">
        <v>8</v>
      </c>
      <c r="J15" s="177">
        <v>9</v>
      </c>
      <c r="K15" s="177">
        <v>12</v>
      </c>
      <c r="L15" s="177">
        <v>14</v>
      </c>
      <c r="M15" s="177">
        <v>11</v>
      </c>
      <c r="N15" s="177">
        <v>16</v>
      </c>
      <c r="O15" s="177">
        <v>22</v>
      </c>
      <c r="P15" s="177">
        <v>10</v>
      </c>
      <c r="Q15" s="177">
        <v>17</v>
      </c>
      <c r="R15" s="177">
        <v>14</v>
      </c>
      <c r="S15" s="177">
        <v>9</v>
      </c>
      <c r="T15" s="177">
        <v>14</v>
      </c>
      <c r="U15" s="177">
        <v>15</v>
      </c>
      <c r="V15" s="177">
        <v>12</v>
      </c>
    </row>
    <row r="16" spans="1:35" x14ac:dyDescent="0.2">
      <c r="A16" s="158">
        <v>8</v>
      </c>
      <c r="B16" s="171" t="s">
        <v>393</v>
      </c>
      <c r="C16" s="174">
        <v>80</v>
      </c>
      <c r="D16" s="176">
        <v>35</v>
      </c>
      <c r="E16" s="176">
        <v>80</v>
      </c>
      <c r="F16" s="176">
        <v>35</v>
      </c>
      <c r="G16" s="177">
        <v>8</v>
      </c>
      <c r="H16" s="177">
        <v>12</v>
      </c>
      <c r="I16" s="177">
        <v>8</v>
      </c>
      <c r="J16" s="177">
        <v>12</v>
      </c>
      <c r="K16" s="177">
        <v>10</v>
      </c>
      <c r="L16" s="177">
        <v>12</v>
      </c>
      <c r="M16" s="177">
        <v>14</v>
      </c>
      <c r="N16" s="177">
        <v>13</v>
      </c>
      <c r="O16" s="177">
        <v>17</v>
      </c>
      <c r="P16" s="177">
        <v>11</v>
      </c>
      <c r="Q16" s="177">
        <v>16</v>
      </c>
      <c r="R16" s="177">
        <v>9</v>
      </c>
      <c r="S16" s="177">
        <v>14</v>
      </c>
      <c r="T16" s="177">
        <v>17</v>
      </c>
      <c r="U16" s="177">
        <v>16</v>
      </c>
      <c r="V16" s="177">
        <v>12</v>
      </c>
    </row>
    <row r="17" spans="1:22" x14ac:dyDescent="0.2">
      <c r="A17" s="158">
        <v>9</v>
      </c>
      <c r="B17" s="171" t="s">
        <v>394</v>
      </c>
      <c r="C17" s="174">
        <v>125</v>
      </c>
      <c r="D17" s="176">
        <v>35</v>
      </c>
      <c r="E17" s="176">
        <v>80</v>
      </c>
      <c r="F17" s="176">
        <v>35</v>
      </c>
      <c r="G17" s="177">
        <v>10</v>
      </c>
      <c r="H17" s="177">
        <v>18</v>
      </c>
      <c r="I17" s="177">
        <v>7</v>
      </c>
      <c r="J17" s="177">
        <v>10</v>
      </c>
      <c r="K17" s="177">
        <v>7</v>
      </c>
      <c r="L17" s="177">
        <v>10</v>
      </c>
      <c r="M17" s="177">
        <v>13</v>
      </c>
      <c r="N17" s="177">
        <v>11</v>
      </c>
      <c r="O17" s="177">
        <v>15</v>
      </c>
      <c r="P17" s="177">
        <v>6</v>
      </c>
      <c r="Q17" s="177">
        <v>20</v>
      </c>
      <c r="R17" s="177">
        <v>22</v>
      </c>
      <c r="S17" s="177">
        <v>11</v>
      </c>
      <c r="T17" s="177">
        <v>23</v>
      </c>
      <c r="U17" s="177">
        <v>11</v>
      </c>
      <c r="V17" s="177">
        <v>7</v>
      </c>
    </row>
    <row r="18" spans="1:22" x14ac:dyDescent="0.2">
      <c r="A18" s="158">
        <v>10</v>
      </c>
      <c r="B18" s="171" t="s">
        <v>395</v>
      </c>
      <c r="C18" s="174">
        <v>125</v>
      </c>
      <c r="D18" s="176">
        <v>65</v>
      </c>
      <c r="E18" s="176">
        <v>80</v>
      </c>
      <c r="F18" s="176">
        <v>80</v>
      </c>
      <c r="G18" s="177">
        <v>6</v>
      </c>
      <c r="H18" s="177">
        <v>9</v>
      </c>
      <c r="I18" s="177">
        <v>13</v>
      </c>
      <c r="J18" s="177">
        <v>16</v>
      </c>
      <c r="K18" s="177">
        <v>9</v>
      </c>
      <c r="L18" s="177">
        <v>14</v>
      </c>
      <c r="M18" s="177">
        <v>13</v>
      </c>
      <c r="N18" s="177">
        <v>13</v>
      </c>
      <c r="O18" s="177">
        <v>13</v>
      </c>
      <c r="P18" s="177">
        <v>16</v>
      </c>
      <c r="Q18" s="177">
        <v>15</v>
      </c>
      <c r="R18" s="177">
        <v>15</v>
      </c>
      <c r="S18" s="177">
        <v>12</v>
      </c>
      <c r="T18" s="177">
        <v>15</v>
      </c>
      <c r="U18" s="177">
        <v>10</v>
      </c>
      <c r="V18" s="177">
        <v>13</v>
      </c>
    </row>
    <row r="19" spans="1:22" x14ac:dyDescent="0.2">
      <c r="A19" s="158">
        <v>11</v>
      </c>
      <c r="B19" s="171" t="s">
        <v>396</v>
      </c>
      <c r="C19" s="174">
        <v>130</v>
      </c>
      <c r="D19" s="176">
        <v>35</v>
      </c>
      <c r="E19" s="176">
        <v>80</v>
      </c>
      <c r="F19" s="176">
        <v>35</v>
      </c>
      <c r="G19" s="177">
        <v>8</v>
      </c>
      <c r="H19" s="177">
        <v>13</v>
      </c>
      <c r="I19" s="177">
        <v>11</v>
      </c>
      <c r="J19" s="177">
        <v>14</v>
      </c>
      <c r="K19" s="177">
        <v>9</v>
      </c>
      <c r="L19" s="177">
        <v>11</v>
      </c>
      <c r="M19" s="177">
        <v>18</v>
      </c>
      <c r="N19" s="177">
        <v>11</v>
      </c>
      <c r="O19" s="177">
        <v>19</v>
      </c>
      <c r="P19" s="177">
        <v>12</v>
      </c>
      <c r="Q19" s="177">
        <v>14</v>
      </c>
      <c r="R19" s="177">
        <v>12</v>
      </c>
      <c r="S19" s="177">
        <v>13</v>
      </c>
      <c r="T19" s="177">
        <v>13</v>
      </c>
      <c r="U19" s="177">
        <v>16</v>
      </c>
      <c r="V19" s="177">
        <v>8</v>
      </c>
    </row>
    <row r="20" spans="1:22" x14ac:dyDescent="0.2">
      <c r="A20" s="158">
        <v>12</v>
      </c>
      <c r="B20" s="171" t="s">
        <v>397</v>
      </c>
      <c r="C20" s="174">
        <v>90</v>
      </c>
      <c r="D20" s="176">
        <v>35</v>
      </c>
      <c r="E20" s="176">
        <v>80</v>
      </c>
      <c r="F20" s="176">
        <v>35</v>
      </c>
      <c r="G20" s="177">
        <v>9</v>
      </c>
      <c r="H20" s="177">
        <v>13</v>
      </c>
      <c r="I20" s="177">
        <v>9</v>
      </c>
      <c r="J20" s="177">
        <v>15</v>
      </c>
      <c r="K20" s="177">
        <v>13</v>
      </c>
      <c r="L20" s="177">
        <v>13</v>
      </c>
      <c r="M20" s="177">
        <v>16</v>
      </c>
      <c r="N20" s="177">
        <v>11</v>
      </c>
      <c r="O20" s="177">
        <v>12</v>
      </c>
      <c r="P20" s="177">
        <v>17</v>
      </c>
      <c r="Q20" s="177">
        <v>14</v>
      </c>
      <c r="R20" s="177">
        <v>13</v>
      </c>
      <c r="S20" s="177">
        <v>8</v>
      </c>
      <c r="T20" s="177">
        <v>17</v>
      </c>
      <c r="U20" s="177">
        <v>9</v>
      </c>
      <c r="V20" s="177">
        <v>16</v>
      </c>
    </row>
    <row r="21" spans="1:22" x14ac:dyDescent="0.2">
      <c r="A21" s="158">
        <v>13</v>
      </c>
      <c r="B21" s="171" t="s">
        <v>398</v>
      </c>
      <c r="C21" s="174">
        <v>109</v>
      </c>
      <c r="D21" s="176">
        <v>35</v>
      </c>
      <c r="E21" s="176">
        <v>80</v>
      </c>
      <c r="F21" s="176">
        <v>65</v>
      </c>
      <c r="G21" s="177">
        <v>12</v>
      </c>
      <c r="H21" s="177">
        <v>15</v>
      </c>
      <c r="I21" s="177">
        <v>8</v>
      </c>
      <c r="J21" s="177">
        <v>16</v>
      </c>
      <c r="K21" s="177">
        <v>5</v>
      </c>
      <c r="L21" s="177">
        <v>13</v>
      </c>
      <c r="M21" s="177">
        <v>11</v>
      </c>
      <c r="N21" s="177">
        <v>16</v>
      </c>
      <c r="O21" s="177">
        <v>5</v>
      </c>
      <c r="P21" s="177">
        <v>20</v>
      </c>
      <c r="Q21" s="177">
        <v>15</v>
      </c>
      <c r="R21" s="177">
        <v>12</v>
      </c>
      <c r="S21" s="177">
        <v>18</v>
      </c>
      <c r="T21" s="177">
        <v>23</v>
      </c>
      <c r="U21" s="177">
        <v>8</v>
      </c>
      <c r="V21" s="177">
        <v>4</v>
      </c>
    </row>
    <row r="22" spans="1:22" x14ac:dyDescent="0.2">
      <c r="A22" s="158">
        <v>14</v>
      </c>
      <c r="B22" s="171" t="s">
        <v>399</v>
      </c>
      <c r="C22" s="174">
        <v>80</v>
      </c>
      <c r="D22" s="176">
        <v>35</v>
      </c>
      <c r="E22" s="176">
        <v>80</v>
      </c>
      <c r="F22" s="176">
        <v>35</v>
      </c>
      <c r="G22" s="177">
        <v>7</v>
      </c>
      <c r="H22" s="177">
        <v>8</v>
      </c>
      <c r="I22" s="177">
        <v>12</v>
      </c>
      <c r="J22" s="177">
        <v>16</v>
      </c>
      <c r="K22" s="177">
        <v>17</v>
      </c>
      <c r="L22" s="177">
        <v>10</v>
      </c>
      <c r="M22" s="177">
        <v>6</v>
      </c>
      <c r="N22" s="177">
        <v>15</v>
      </c>
      <c r="O22" s="177">
        <v>15</v>
      </c>
      <c r="P22" s="177">
        <v>16</v>
      </c>
      <c r="Q22" s="177">
        <v>13</v>
      </c>
      <c r="R22" s="177">
        <v>12</v>
      </c>
      <c r="S22" s="177">
        <v>17</v>
      </c>
      <c r="T22" s="177">
        <v>14</v>
      </c>
      <c r="U22" s="177">
        <v>12</v>
      </c>
      <c r="V22" s="177">
        <v>13</v>
      </c>
    </row>
    <row r="23" spans="1:22" x14ac:dyDescent="0.2">
      <c r="A23" s="158">
        <v>15</v>
      </c>
      <c r="B23" s="171" t="s">
        <v>400</v>
      </c>
      <c r="C23" s="174">
        <v>90</v>
      </c>
      <c r="D23" s="176">
        <v>35</v>
      </c>
      <c r="E23" s="176">
        <v>35</v>
      </c>
      <c r="F23" s="176">
        <v>35</v>
      </c>
      <c r="G23" s="177">
        <v>11</v>
      </c>
      <c r="H23" s="177">
        <v>16</v>
      </c>
      <c r="I23" s="177">
        <v>10</v>
      </c>
      <c r="J23" s="177">
        <v>13</v>
      </c>
      <c r="K23" s="177">
        <v>9</v>
      </c>
      <c r="L23" s="177">
        <v>10</v>
      </c>
      <c r="M23" s="177">
        <v>12</v>
      </c>
      <c r="N23" s="177">
        <v>14</v>
      </c>
      <c r="O23" s="177">
        <v>19</v>
      </c>
      <c r="P23" s="177">
        <v>14</v>
      </c>
      <c r="Q23" s="177">
        <v>12</v>
      </c>
      <c r="R23" s="177">
        <v>18</v>
      </c>
      <c r="S23" s="177">
        <v>13</v>
      </c>
      <c r="T23" s="177">
        <v>20</v>
      </c>
      <c r="U23" s="177">
        <v>9</v>
      </c>
      <c r="V23" s="177">
        <v>5</v>
      </c>
    </row>
    <row r="24" spans="1:22" x14ac:dyDescent="0.2">
      <c r="A24" s="158">
        <v>16</v>
      </c>
      <c r="B24" s="172" t="s">
        <v>401</v>
      </c>
      <c r="C24" s="175"/>
      <c r="D24" s="175"/>
      <c r="E24" s="175"/>
      <c r="F24" s="175"/>
      <c r="G24" s="175"/>
      <c r="H24" s="175"/>
      <c r="I24" s="175"/>
      <c r="J24" s="175"/>
      <c r="K24" s="175"/>
      <c r="L24" s="175"/>
      <c r="M24" s="175"/>
      <c r="N24" s="175"/>
      <c r="O24" s="175"/>
      <c r="P24" s="175"/>
      <c r="Q24" s="175"/>
      <c r="R24" s="175"/>
      <c r="S24" s="175"/>
      <c r="T24" s="175"/>
      <c r="U24" s="175"/>
      <c r="V24" s="175"/>
    </row>
    <row r="25" spans="1:22" x14ac:dyDescent="0.2">
      <c r="A25" s="159">
        <v>17</v>
      </c>
      <c r="B25" s="173" t="s">
        <v>402</v>
      </c>
      <c r="C25" s="174">
        <v>115</v>
      </c>
      <c r="D25" s="176">
        <v>35</v>
      </c>
      <c r="E25" s="176">
        <v>35</v>
      </c>
      <c r="F25" s="176">
        <v>35</v>
      </c>
      <c r="G25" s="177">
        <v>10</v>
      </c>
      <c r="H25" s="177">
        <v>10</v>
      </c>
      <c r="I25" s="177">
        <v>16</v>
      </c>
      <c r="J25" s="177">
        <v>10</v>
      </c>
      <c r="K25" s="177">
        <v>10</v>
      </c>
      <c r="L25" s="177">
        <v>14</v>
      </c>
      <c r="M25" s="177">
        <v>16</v>
      </c>
      <c r="N25" s="177">
        <v>9</v>
      </c>
      <c r="O25" s="177">
        <v>12</v>
      </c>
      <c r="P25" s="177">
        <v>15</v>
      </c>
      <c r="Q25" s="177">
        <v>18</v>
      </c>
      <c r="R25" s="177">
        <v>9</v>
      </c>
      <c r="S25" s="177">
        <v>9</v>
      </c>
      <c r="T25" s="177">
        <v>17</v>
      </c>
      <c r="U25" s="177">
        <v>15</v>
      </c>
      <c r="V25" s="177">
        <v>13</v>
      </c>
    </row>
    <row r="26" spans="1:22" x14ac:dyDescent="0.2">
      <c r="A26" s="158">
        <v>18</v>
      </c>
      <c r="B26" s="171" t="s">
        <v>403</v>
      </c>
      <c r="C26" s="174">
        <v>80</v>
      </c>
      <c r="D26" s="176">
        <v>35</v>
      </c>
      <c r="E26" s="176">
        <v>35</v>
      </c>
      <c r="F26" s="176">
        <v>35</v>
      </c>
      <c r="G26" s="177">
        <v>11</v>
      </c>
      <c r="H26" s="177">
        <v>17</v>
      </c>
      <c r="I26" s="177">
        <v>9</v>
      </c>
      <c r="J26" s="177">
        <v>14</v>
      </c>
      <c r="K26" s="177">
        <v>16</v>
      </c>
      <c r="L26" s="177">
        <v>6</v>
      </c>
      <c r="M26" s="177">
        <v>14</v>
      </c>
      <c r="N26" s="177">
        <v>12</v>
      </c>
      <c r="O26" s="177">
        <v>20</v>
      </c>
      <c r="P26" s="177">
        <v>10</v>
      </c>
      <c r="Q26" s="177">
        <v>13</v>
      </c>
      <c r="R26" s="177">
        <v>16</v>
      </c>
      <c r="S26" s="177">
        <v>19</v>
      </c>
      <c r="T26" s="177">
        <v>17</v>
      </c>
      <c r="U26" s="177">
        <v>3</v>
      </c>
      <c r="V26" s="177">
        <v>9</v>
      </c>
    </row>
    <row r="27" spans="1:22" x14ac:dyDescent="0.2">
      <c r="A27" s="158">
        <v>19</v>
      </c>
      <c r="B27" s="171" t="s">
        <v>404</v>
      </c>
      <c r="C27" s="174">
        <v>109</v>
      </c>
      <c r="D27" s="176">
        <v>35</v>
      </c>
      <c r="E27" s="176">
        <v>35</v>
      </c>
      <c r="F27" s="176">
        <v>65</v>
      </c>
      <c r="G27" s="177">
        <v>12</v>
      </c>
      <c r="H27" s="177">
        <v>13</v>
      </c>
      <c r="I27" s="177">
        <v>7</v>
      </c>
      <c r="J27" s="177">
        <v>6</v>
      </c>
      <c r="K27" s="177">
        <v>14</v>
      </c>
      <c r="L27" s="177">
        <v>13</v>
      </c>
      <c r="M27" s="177">
        <v>15</v>
      </c>
      <c r="N27" s="177">
        <v>14</v>
      </c>
      <c r="O27" s="177">
        <v>13</v>
      </c>
      <c r="P27" s="177">
        <v>10</v>
      </c>
      <c r="Q27" s="177">
        <v>17</v>
      </c>
      <c r="R27" s="177">
        <v>22</v>
      </c>
      <c r="S27" s="177">
        <v>10</v>
      </c>
      <c r="T27" s="177">
        <v>15</v>
      </c>
      <c r="U27" s="177">
        <v>8</v>
      </c>
      <c r="V27" s="177">
        <v>16</v>
      </c>
    </row>
    <row r="28" spans="1:22" x14ac:dyDescent="0.2">
      <c r="A28" s="158">
        <v>20</v>
      </c>
      <c r="B28" s="171" t="s">
        <v>405</v>
      </c>
      <c r="C28" s="174">
        <v>89</v>
      </c>
      <c r="D28" s="176">
        <v>35</v>
      </c>
      <c r="E28" s="176">
        <v>80</v>
      </c>
      <c r="F28" s="176">
        <v>35</v>
      </c>
      <c r="G28" s="177">
        <v>11</v>
      </c>
      <c r="H28" s="177">
        <v>15</v>
      </c>
      <c r="I28" s="177">
        <v>10</v>
      </c>
      <c r="J28" s="177">
        <v>15</v>
      </c>
      <c r="K28" s="177">
        <v>14</v>
      </c>
      <c r="L28" s="177">
        <v>10</v>
      </c>
      <c r="M28" s="177">
        <v>13</v>
      </c>
      <c r="N28" s="177">
        <v>11</v>
      </c>
      <c r="O28" s="177">
        <v>15</v>
      </c>
      <c r="P28" s="177">
        <v>11</v>
      </c>
      <c r="Q28" s="177">
        <v>14</v>
      </c>
      <c r="R28" s="177">
        <v>14</v>
      </c>
      <c r="S28" s="177">
        <v>11</v>
      </c>
      <c r="T28" s="177">
        <v>13</v>
      </c>
      <c r="U28" s="177">
        <v>14</v>
      </c>
      <c r="V28" s="177">
        <v>15</v>
      </c>
    </row>
    <row r="29" spans="1:22" x14ac:dyDescent="0.2">
      <c r="A29" s="158">
        <v>21</v>
      </c>
      <c r="B29" s="171" t="s">
        <v>406</v>
      </c>
      <c r="C29" s="174">
        <v>110</v>
      </c>
      <c r="D29" s="176">
        <v>35</v>
      </c>
      <c r="E29" s="176">
        <v>80</v>
      </c>
      <c r="F29" s="176">
        <v>35</v>
      </c>
      <c r="G29" s="177">
        <v>11</v>
      </c>
      <c r="H29" s="177">
        <v>10</v>
      </c>
      <c r="I29" s="177">
        <v>10</v>
      </c>
      <c r="J29" s="177">
        <v>12</v>
      </c>
      <c r="K29" s="177">
        <v>10</v>
      </c>
      <c r="L29" s="177">
        <v>12</v>
      </c>
      <c r="M29" s="177">
        <v>17</v>
      </c>
      <c r="N29" s="177">
        <v>20</v>
      </c>
      <c r="O29" s="177">
        <v>17</v>
      </c>
      <c r="P29" s="177">
        <v>14</v>
      </c>
      <c r="Q29" s="177">
        <v>18</v>
      </c>
      <c r="R29" s="177">
        <v>15</v>
      </c>
      <c r="S29" s="177">
        <v>8</v>
      </c>
      <c r="T29" s="177">
        <v>16</v>
      </c>
      <c r="U29" s="177">
        <v>6</v>
      </c>
      <c r="V29" s="177">
        <v>11</v>
      </c>
    </row>
    <row r="30" spans="1:22" x14ac:dyDescent="0.2">
      <c r="A30" s="158">
        <v>22</v>
      </c>
      <c r="B30" s="171" t="s">
        <v>407</v>
      </c>
      <c r="C30" s="174">
        <v>119</v>
      </c>
      <c r="D30" s="176">
        <v>35</v>
      </c>
      <c r="E30" s="176">
        <v>35</v>
      </c>
      <c r="F30" s="176">
        <v>35</v>
      </c>
      <c r="G30" s="177">
        <v>10</v>
      </c>
      <c r="H30" s="177">
        <v>15</v>
      </c>
      <c r="I30" s="177">
        <v>10</v>
      </c>
      <c r="J30" s="177">
        <v>5</v>
      </c>
      <c r="K30" s="177">
        <v>13</v>
      </c>
      <c r="L30" s="177">
        <v>16</v>
      </c>
      <c r="M30" s="177">
        <v>11</v>
      </c>
      <c r="N30" s="177">
        <v>13</v>
      </c>
      <c r="O30" s="177">
        <v>22</v>
      </c>
      <c r="P30" s="177">
        <v>10</v>
      </c>
      <c r="Q30" s="177">
        <v>17</v>
      </c>
      <c r="R30" s="177">
        <v>14</v>
      </c>
      <c r="S30" s="177">
        <v>13</v>
      </c>
      <c r="T30" s="177">
        <v>14</v>
      </c>
      <c r="U30" s="177">
        <v>12</v>
      </c>
      <c r="V30" s="177">
        <v>10</v>
      </c>
    </row>
    <row r="31" spans="1:22" x14ac:dyDescent="0.2">
      <c r="A31" s="158">
        <v>23</v>
      </c>
      <c r="B31" s="171" t="s">
        <v>408</v>
      </c>
      <c r="C31" s="174">
        <v>130</v>
      </c>
      <c r="D31" s="176">
        <v>35</v>
      </c>
      <c r="E31" s="176">
        <v>65</v>
      </c>
      <c r="F31" s="176">
        <v>35</v>
      </c>
      <c r="G31" s="177">
        <v>10</v>
      </c>
      <c r="H31" s="177">
        <v>16</v>
      </c>
      <c r="I31" s="177">
        <v>11</v>
      </c>
      <c r="J31" s="177">
        <v>10</v>
      </c>
      <c r="K31" s="177">
        <v>15</v>
      </c>
      <c r="L31" s="177">
        <v>8</v>
      </c>
      <c r="M31" s="177">
        <v>13</v>
      </c>
      <c r="N31" s="177">
        <v>21</v>
      </c>
      <c r="O31" s="177">
        <v>18</v>
      </c>
      <c r="P31" s="177">
        <v>11</v>
      </c>
      <c r="Q31" s="177">
        <v>16</v>
      </c>
      <c r="R31" s="177">
        <v>12</v>
      </c>
      <c r="S31" s="177">
        <v>12</v>
      </c>
      <c r="T31" s="177">
        <v>12</v>
      </c>
      <c r="U31" s="177">
        <v>7</v>
      </c>
      <c r="V31" s="177">
        <v>13</v>
      </c>
    </row>
    <row r="32" spans="1:22" x14ac:dyDescent="0.2">
      <c r="A32" s="158">
        <v>24</v>
      </c>
      <c r="B32" s="171" t="s">
        <v>409</v>
      </c>
      <c r="C32" s="174">
        <v>85</v>
      </c>
      <c r="D32" s="176">
        <v>35</v>
      </c>
      <c r="E32" s="176">
        <v>35</v>
      </c>
      <c r="F32" s="176">
        <v>35</v>
      </c>
      <c r="G32" s="177">
        <v>10</v>
      </c>
      <c r="H32" s="177">
        <v>12</v>
      </c>
      <c r="I32" s="177">
        <v>4</v>
      </c>
      <c r="J32" s="177">
        <v>8</v>
      </c>
      <c r="K32" s="177">
        <v>12</v>
      </c>
      <c r="L32" s="177">
        <v>11</v>
      </c>
      <c r="M32" s="177">
        <v>15</v>
      </c>
      <c r="N32" s="177">
        <v>11</v>
      </c>
      <c r="O32" s="177">
        <v>22</v>
      </c>
      <c r="P32" s="177">
        <v>10</v>
      </c>
      <c r="Q32" s="177">
        <v>25</v>
      </c>
      <c r="R32" s="177">
        <v>19</v>
      </c>
      <c r="S32" s="177">
        <v>10</v>
      </c>
      <c r="T32" s="177">
        <v>14</v>
      </c>
      <c r="U32" s="177">
        <v>9</v>
      </c>
      <c r="V32" s="177">
        <v>14</v>
      </c>
    </row>
    <row r="33" spans="1:22" x14ac:dyDescent="0.2">
      <c r="A33" s="158">
        <v>25</v>
      </c>
      <c r="B33" s="172" t="s">
        <v>410</v>
      </c>
      <c r="C33" s="175"/>
      <c r="D33" s="175"/>
      <c r="E33" s="175"/>
      <c r="F33" s="175"/>
      <c r="G33" s="175"/>
      <c r="H33" s="175"/>
      <c r="I33" s="175"/>
      <c r="J33" s="175"/>
      <c r="K33" s="175"/>
      <c r="L33" s="175"/>
      <c r="M33" s="175"/>
      <c r="N33" s="175"/>
      <c r="O33" s="175"/>
      <c r="P33" s="175"/>
      <c r="Q33" s="175"/>
      <c r="R33" s="175"/>
      <c r="S33" s="175"/>
      <c r="T33" s="175"/>
      <c r="U33" s="175"/>
      <c r="V33" s="175"/>
    </row>
    <row r="34" spans="1:22" x14ac:dyDescent="0.2">
      <c r="A34" s="158">
        <v>26</v>
      </c>
      <c r="B34" s="171" t="s">
        <v>411</v>
      </c>
      <c r="C34" s="174">
        <v>85</v>
      </c>
      <c r="D34" s="176">
        <v>35</v>
      </c>
      <c r="E34" s="176">
        <v>80</v>
      </c>
      <c r="F34" s="176">
        <v>35</v>
      </c>
      <c r="G34" s="177">
        <v>7</v>
      </c>
      <c r="H34" s="177">
        <v>11</v>
      </c>
      <c r="I34" s="177">
        <v>12</v>
      </c>
      <c r="J34" s="177">
        <v>15</v>
      </c>
      <c r="K34" s="177">
        <v>13</v>
      </c>
      <c r="L34" s="177">
        <v>14</v>
      </c>
      <c r="M34" s="177">
        <v>9</v>
      </c>
      <c r="N34" s="177">
        <v>16</v>
      </c>
      <c r="O34" s="177">
        <v>13</v>
      </c>
      <c r="P34" s="177">
        <v>16</v>
      </c>
      <c r="Q34" s="177">
        <v>14</v>
      </c>
      <c r="R34" s="177">
        <v>10</v>
      </c>
      <c r="S34" s="177">
        <v>12</v>
      </c>
      <c r="T34" s="177">
        <v>14</v>
      </c>
      <c r="U34" s="177">
        <v>14</v>
      </c>
      <c r="V34" s="177">
        <v>13</v>
      </c>
    </row>
    <row r="35" spans="1:22" x14ac:dyDescent="0.2">
      <c r="A35" s="158">
        <v>27</v>
      </c>
      <c r="B35" s="171" t="s">
        <v>412</v>
      </c>
      <c r="C35" s="174">
        <v>80</v>
      </c>
      <c r="D35" s="176">
        <v>35</v>
      </c>
      <c r="E35" s="176">
        <v>35</v>
      </c>
      <c r="F35" s="176">
        <v>35</v>
      </c>
      <c r="G35" s="177">
        <v>7</v>
      </c>
      <c r="H35" s="177">
        <v>14</v>
      </c>
      <c r="I35" s="177">
        <v>11</v>
      </c>
      <c r="J35" s="177">
        <v>9</v>
      </c>
      <c r="K35" s="177">
        <v>13</v>
      </c>
      <c r="L35" s="177">
        <v>8</v>
      </c>
      <c r="M35" s="177">
        <v>13</v>
      </c>
      <c r="N35" s="177">
        <v>13</v>
      </c>
      <c r="O35" s="177">
        <v>16</v>
      </c>
      <c r="P35" s="177">
        <v>15</v>
      </c>
      <c r="Q35" s="177">
        <v>14</v>
      </c>
      <c r="R35" s="177">
        <v>15</v>
      </c>
      <c r="S35" s="177">
        <v>15</v>
      </c>
      <c r="T35" s="177">
        <v>16</v>
      </c>
      <c r="U35" s="177">
        <v>10</v>
      </c>
      <c r="V35" s="177">
        <v>13</v>
      </c>
    </row>
    <row r="36" spans="1:22" x14ac:dyDescent="0.2">
      <c r="A36" s="158">
        <v>28</v>
      </c>
      <c r="B36" s="171" t="s">
        <v>413</v>
      </c>
      <c r="C36" s="174">
        <v>109</v>
      </c>
      <c r="D36" s="176">
        <v>35</v>
      </c>
      <c r="E36" s="176">
        <v>80</v>
      </c>
      <c r="F36" s="176">
        <v>35</v>
      </c>
      <c r="G36" s="177">
        <v>9</v>
      </c>
      <c r="H36" s="177">
        <v>8</v>
      </c>
      <c r="I36" s="177">
        <v>8</v>
      </c>
      <c r="J36" s="177">
        <v>13</v>
      </c>
      <c r="K36" s="177">
        <v>11</v>
      </c>
      <c r="L36" s="177">
        <v>11</v>
      </c>
      <c r="M36" s="177">
        <v>12</v>
      </c>
      <c r="N36" s="177">
        <v>18</v>
      </c>
      <c r="O36" s="177">
        <v>13</v>
      </c>
      <c r="P36" s="177">
        <v>17</v>
      </c>
      <c r="Q36" s="177">
        <v>16</v>
      </c>
      <c r="R36" s="177">
        <v>10</v>
      </c>
      <c r="S36" s="177">
        <v>10</v>
      </c>
      <c r="T36" s="177">
        <v>15</v>
      </c>
      <c r="U36" s="177">
        <v>16</v>
      </c>
      <c r="V36" s="177">
        <v>16</v>
      </c>
    </row>
    <row r="37" spans="1:22" x14ac:dyDescent="0.2">
      <c r="A37" s="158">
        <v>29</v>
      </c>
      <c r="B37" s="171" t="s">
        <v>414</v>
      </c>
      <c r="C37" s="174">
        <v>105</v>
      </c>
      <c r="D37" s="176">
        <v>35</v>
      </c>
      <c r="E37" s="176">
        <v>80</v>
      </c>
      <c r="F37" s="176">
        <v>65</v>
      </c>
      <c r="G37" s="177">
        <v>6</v>
      </c>
      <c r="H37" s="177">
        <v>8</v>
      </c>
      <c r="I37" s="177">
        <v>11</v>
      </c>
      <c r="J37" s="177">
        <v>12</v>
      </c>
      <c r="K37" s="177">
        <v>11</v>
      </c>
      <c r="L37" s="177">
        <v>15</v>
      </c>
      <c r="M37" s="177">
        <v>12</v>
      </c>
      <c r="N37" s="177">
        <v>13</v>
      </c>
      <c r="O37" s="177">
        <v>14</v>
      </c>
      <c r="P37" s="177">
        <v>15</v>
      </c>
      <c r="Q37" s="177">
        <v>15</v>
      </c>
      <c r="R37" s="177">
        <v>7</v>
      </c>
      <c r="S37" s="177">
        <v>17</v>
      </c>
      <c r="T37" s="177">
        <v>13</v>
      </c>
      <c r="U37" s="177">
        <v>18</v>
      </c>
      <c r="V37" s="177">
        <v>14</v>
      </c>
    </row>
    <row r="38" spans="1:22" x14ac:dyDescent="0.2">
      <c r="A38" s="158">
        <v>30</v>
      </c>
      <c r="B38" s="171" t="s">
        <v>415</v>
      </c>
      <c r="C38" s="174">
        <v>80</v>
      </c>
      <c r="D38" s="176">
        <v>35</v>
      </c>
      <c r="E38" s="176">
        <v>80</v>
      </c>
      <c r="F38" s="176">
        <v>35</v>
      </c>
      <c r="G38" s="177">
        <v>9</v>
      </c>
      <c r="H38" s="177">
        <v>11</v>
      </c>
      <c r="I38" s="177">
        <v>12</v>
      </c>
      <c r="J38" s="177">
        <v>15</v>
      </c>
      <c r="K38" s="177">
        <v>12</v>
      </c>
      <c r="L38" s="177">
        <v>9</v>
      </c>
      <c r="M38" s="177">
        <v>16</v>
      </c>
      <c r="N38" s="177">
        <v>12</v>
      </c>
      <c r="O38" s="177">
        <v>13</v>
      </c>
      <c r="P38" s="177">
        <v>10</v>
      </c>
      <c r="Q38" s="177">
        <v>16</v>
      </c>
      <c r="R38" s="177">
        <v>9</v>
      </c>
      <c r="S38" s="177">
        <v>14</v>
      </c>
      <c r="T38" s="177">
        <v>17</v>
      </c>
      <c r="U38" s="177">
        <v>11</v>
      </c>
      <c r="V38" s="177">
        <v>16</v>
      </c>
    </row>
    <row r="39" spans="1:22" x14ac:dyDescent="0.2">
      <c r="A39" s="158">
        <v>31</v>
      </c>
      <c r="B39" s="171" t="s">
        <v>416</v>
      </c>
      <c r="C39" s="174">
        <v>80</v>
      </c>
      <c r="D39" s="176">
        <v>35</v>
      </c>
      <c r="E39" s="176">
        <v>35</v>
      </c>
      <c r="F39" s="176">
        <v>35</v>
      </c>
      <c r="G39" s="177">
        <v>5</v>
      </c>
      <c r="H39" s="177">
        <v>14</v>
      </c>
      <c r="I39" s="177">
        <v>10</v>
      </c>
      <c r="J39" s="177">
        <v>10</v>
      </c>
      <c r="K39" s="177">
        <v>15</v>
      </c>
      <c r="L39" s="177">
        <v>9</v>
      </c>
      <c r="M39" s="177">
        <v>15</v>
      </c>
      <c r="N39" s="177">
        <v>17</v>
      </c>
      <c r="O39" s="177">
        <v>13</v>
      </c>
      <c r="P39" s="177">
        <v>14</v>
      </c>
      <c r="Q39" s="177">
        <v>11</v>
      </c>
      <c r="R39" s="177">
        <v>8</v>
      </c>
      <c r="S39" s="177">
        <v>11</v>
      </c>
      <c r="T39" s="177">
        <v>17</v>
      </c>
      <c r="U39" s="177">
        <v>15</v>
      </c>
      <c r="V39" s="177">
        <v>13</v>
      </c>
    </row>
  </sheetData>
  <sortState xmlns:xlrd2="http://schemas.microsoft.com/office/spreadsheetml/2017/richdata2" ref="B9:V39">
    <sortCondition descending="1" ref="C9:C39"/>
  </sortState>
  <mergeCells count="9">
    <mergeCell ref="A3:V3"/>
    <mergeCell ref="A4:V4"/>
    <mergeCell ref="G7:V7"/>
    <mergeCell ref="A5:V5"/>
    <mergeCell ref="A6:V6"/>
    <mergeCell ref="A7:A8"/>
    <mergeCell ref="B7:B8"/>
    <mergeCell ref="C7:C8"/>
    <mergeCell ref="D7:F7"/>
  </mergeCells>
  <pageMargins left="0.45" right="0.2" top="0.5" bottom="0.5" header="0.3" footer="0.3"/>
  <pageSetup paperSize="9" scale="85"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C9ECE-457E-4FEF-88B9-3251E860DD76}">
  <dimension ref="A3:V41"/>
  <sheetViews>
    <sheetView topLeftCell="A13" zoomScale="70" zoomScaleNormal="70" workbookViewId="0">
      <selection activeCell="D36" sqref="D36"/>
    </sheetView>
  </sheetViews>
  <sheetFormatPr defaultRowHeight="15" x14ac:dyDescent="0.2"/>
  <cols>
    <col min="1" max="1" width="4.4375" bestFit="1" customWidth="1"/>
    <col min="2" max="2" width="48.42578125" bestFit="1" customWidth="1"/>
  </cols>
  <sheetData>
    <row r="3" spans="1:22" ht="21" x14ac:dyDescent="0.25">
      <c r="A3" s="181" t="s">
        <v>420</v>
      </c>
      <c r="B3" s="181"/>
      <c r="C3" s="181"/>
      <c r="D3" s="181"/>
      <c r="E3" s="181"/>
      <c r="F3" s="181"/>
      <c r="G3" s="181"/>
      <c r="H3" s="181"/>
      <c r="I3" s="181"/>
      <c r="J3" s="181"/>
      <c r="K3" s="181"/>
      <c r="L3" s="181"/>
      <c r="M3" s="181"/>
      <c r="N3" s="181"/>
      <c r="O3" s="181"/>
      <c r="P3" s="181"/>
      <c r="Q3" s="181"/>
      <c r="R3" s="181"/>
      <c r="S3" s="181"/>
      <c r="T3" s="181"/>
      <c r="U3" s="181"/>
      <c r="V3" s="181"/>
    </row>
    <row r="4" spans="1:22" ht="18" x14ac:dyDescent="0.2">
      <c r="A4" s="182" t="s">
        <v>421</v>
      </c>
      <c r="B4" s="182"/>
      <c r="C4" s="182"/>
      <c r="D4" s="182"/>
      <c r="E4" s="182"/>
      <c r="F4" s="182"/>
      <c r="G4" s="182"/>
      <c r="H4" s="182"/>
      <c r="I4" s="182"/>
      <c r="J4" s="182"/>
      <c r="K4" s="182"/>
      <c r="L4" s="182"/>
      <c r="M4" s="182"/>
      <c r="N4" s="182"/>
      <c r="O4" s="182"/>
      <c r="P4" s="182"/>
      <c r="Q4" s="182"/>
      <c r="R4" s="182"/>
      <c r="S4" s="182"/>
      <c r="T4" s="182"/>
      <c r="U4" s="182"/>
      <c r="V4" s="182"/>
    </row>
    <row r="5" spans="1:22" ht="18" x14ac:dyDescent="0.2">
      <c r="A5" s="182" t="s">
        <v>544</v>
      </c>
      <c r="B5" s="182"/>
      <c r="C5" s="182"/>
      <c r="D5" s="182"/>
      <c r="E5" s="182"/>
      <c r="F5" s="182"/>
      <c r="G5" s="182"/>
      <c r="H5" s="182"/>
      <c r="I5" s="182"/>
      <c r="J5" s="182"/>
      <c r="K5" s="182"/>
      <c r="L5" s="182"/>
      <c r="M5" s="182"/>
      <c r="N5" s="182"/>
      <c r="O5" s="182"/>
      <c r="P5" s="182"/>
      <c r="Q5" s="182"/>
      <c r="R5" s="182"/>
      <c r="S5" s="182"/>
      <c r="T5" s="182"/>
      <c r="U5" s="182"/>
      <c r="V5" s="182"/>
    </row>
    <row r="6" spans="1:22" x14ac:dyDescent="0.2">
      <c r="A6" s="186"/>
      <c r="B6" s="186"/>
      <c r="C6" s="186"/>
      <c r="D6" s="186"/>
      <c r="E6" s="186"/>
      <c r="F6" s="186"/>
      <c r="G6" s="186"/>
      <c r="H6" s="186"/>
      <c r="I6" s="186"/>
      <c r="J6" s="186"/>
      <c r="K6" s="186"/>
      <c r="L6" s="186"/>
      <c r="M6" s="186"/>
      <c r="N6" s="186"/>
      <c r="O6" s="186"/>
      <c r="P6" s="186"/>
      <c r="Q6" s="186"/>
      <c r="R6" s="186"/>
      <c r="S6" s="186"/>
      <c r="T6" s="186"/>
      <c r="U6" s="186"/>
      <c r="V6" s="186"/>
    </row>
    <row r="7" spans="1:22" x14ac:dyDescent="0.2">
      <c r="A7" s="187" t="s">
        <v>0</v>
      </c>
      <c r="B7" s="187" t="s">
        <v>379</v>
      </c>
      <c r="C7" s="187" t="s">
        <v>2</v>
      </c>
      <c r="D7" s="187" t="s">
        <v>417</v>
      </c>
      <c r="E7" s="187"/>
      <c r="F7" s="187"/>
      <c r="G7" s="183" t="s">
        <v>380</v>
      </c>
      <c r="H7" s="184"/>
      <c r="I7" s="184"/>
      <c r="J7" s="184"/>
      <c r="K7" s="184"/>
      <c r="L7" s="184"/>
      <c r="M7" s="184"/>
      <c r="N7" s="184"/>
      <c r="O7" s="184"/>
      <c r="P7" s="184"/>
      <c r="Q7" s="184"/>
      <c r="R7" s="184"/>
      <c r="S7" s="184"/>
      <c r="T7" s="184"/>
      <c r="U7" s="184"/>
      <c r="V7" s="185"/>
    </row>
    <row r="8" spans="1:22" x14ac:dyDescent="0.2">
      <c r="A8" s="187"/>
      <c r="B8" s="187"/>
      <c r="C8" s="187"/>
      <c r="D8" s="162">
        <v>1</v>
      </c>
      <c r="E8" s="162">
        <v>2</v>
      </c>
      <c r="F8" s="162">
        <v>3</v>
      </c>
      <c r="G8" s="162">
        <v>1</v>
      </c>
      <c r="H8" s="162">
        <v>2</v>
      </c>
      <c r="I8" s="162">
        <v>3</v>
      </c>
      <c r="J8" s="162">
        <v>4</v>
      </c>
      <c r="K8" s="162">
        <v>5</v>
      </c>
      <c r="L8" s="162">
        <v>6</v>
      </c>
      <c r="M8" s="162">
        <v>7</v>
      </c>
      <c r="N8" s="162">
        <v>8</v>
      </c>
      <c r="O8" s="162">
        <v>9</v>
      </c>
      <c r="P8" s="162">
        <v>10</v>
      </c>
      <c r="Q8" s="162">
        <v>11</v>
      </c>
      <c r="R8" s="162">
        <v>12</v>
      </c>
      <c r="S8" s="162">
        <v>13</v>
      </c>
      <c r="T8" s="162">
        <v>14</v>
      </c>
      <c r="U8" s="162">
        <v>15</v>
      </c>
      <c r="V8" s="162">
        <v>16</v>
      </c>
    </row>
    <row r="9" spans="1:22" x14ac:dyDescent="0.2">
      <c r="A9" s="158">
        <v>1</v>
      </c>
      <c r="B9" s="171" t="s">
        <v>424</v>
      </c>
      <c r="C9" s="174">
        <v>80</v>
      </c>
      <c r="D9" s="176">
        <v>35</v>
      </c>
      <c r="E9" s="176">
        <v>35</v>
      </c>
      <c r="F9" s="176">
        <v>35</v>
      </c>
      <c r="G9" s="177">
        <v>8</v>
      </c>
      <c r="H9" s="177">
        <v>12</v>
      </c>
      <c r="I9" s="177">
        <v>8</v>
      </c>
      <c r="J9" s="177">
        <v>9</v>
      </c>
      <c r="K9" s="177">
        <v>13</v>
      </c>
      <c r="L9" s="177">
        <v>17</v>
      </c>
      <c r="M9" s="177">
        <v>14</v>
      </c>
      <c r="N9" s="177">
        <v>16</v>
      </c>
      <c r="O9" s="177">
        <v>10</v>
      </c>
      <c r="P9" s="177">
        <v>13</v>
      </c>
      <c r="Q9" s="177">
        <v>13</v>
      </c>
      <c r="R9" s="177">
        <v>10</v>
      </c>
      <c r="S9" s="177">
        <v>13</v>
      </c>
      <c r="T9" s="177">
        <v>14</v>
      </c>
      <c r="U9" s="177">
        <v>10</v>
      </c>
      <c r="V9" s="177">
        <v>16</v>
      </c>
    </row>
    <row r="10" spans="1:22" x14ac:dyDescent="0.2">
      <c r="A10" s="158">
        <v>2</v>
      </c>
      <c r="B10" s="171" t="s">
        <v>425</v>
      </c>
      <c r="C10" s="174">
        <v>115</v>
      </c>
      <c r="D10" s="176">
        <v>35</v>
      </c>
      <c r="E10" s="176">
        <v>35</v>
      </c>
      <c r="F10" s="176">
        <v>35</v>
      </c>
      <c r="G10" s="177">
        <v>8</v>
      </c>
      <c r="H10" s="177">
        <v>14</v>
      </c>
      <c r="I10" s="177">
        <v>12</v>
      </c>
      <c r="J10" s="177">
        <v>12</v>
      </c>
      <c r="K10" s="177">
        <v>13</v>
      </c>
      <c r="L10" s="177">
        <v>10</v>
      </c>
      <c r="M10" s="177">
        <v>13</v>
      </c>
      <c r="N10" s="177">
        <v>10</v>
      </c>
      <c r="O10" s="177">
        <v>18</v>
      </c>
      <c r="P10" s="177">
        <v>16</v>
      </c>
      <c r="Q10" s="177">
        <v>14</v>
      </c>
      <c r="R10" s="177">
        <v>20</v>
      </c>
      <c r="S10" s="177">
        <v>12</v>
      </c>
      <c r="T10" s="177">
        <v>12</v>
      </c>
      <c r="U10" s="177">
        <v>12</v>
      </c>
      <c r="V10" s="177">
        <v>7</v>
      </c>
    </row>
    <row r="11" spans="1:22" x14ac:dyDescent="0.2">
      <c r="A11" s="158">
        <v>3</v>
      </c>
      <c r="B11" s="171" t="s">
        <v>426</v>
      </c>
      <c r="C11" s="174">
        <v>110</v>
      </c>
      <c r="D11" s="176">
        <v>35</v>
      </c>
      <c r="E11" s="176">
        <v>35</v>
      </c>
      <c r="F11" s="176">
        <v>35</v>
      </c>
      <c r="G11" s="177">
        <v>9</v>
      </c>
      <c r="H11" s="177">
        <v>12</v>
      </c>
      <c r="I11" s="177">
        <v>12</v>
      </c>
      <c r="J11" s="177">
        <v>24</v>
      </c>
      <c r="K11" s="177">
        <v>14</v>
      </c>
      <c r="L11" s="177">
        <v>12</v>
      </c>
      <c r="M11" s="177">
        <v>11</v>
      </c>
      <c r="N11" s="177">
        <v>11</v>
      </c>
      <c r="O11" s="177">
        <v>13</v>
      </c>
      <c r="P11" s="177">
        <v>19</v>
      </c>
      <c r="Q11" s="177">
        <v>17</v>
      </c>
      <c r="R11" s="177">
        <v>13</v>
      </c>
      <c r="S11" s="177">
        <v>8</v>
      </c>
      <c r="T11" s="177">
        <v>13</v>
      </c>
      <c r="U11" s="177">
        <v>4</v>
      </c>
      <c r="V11" s="177">
        <v>10</v>
      </c>
    </row>
    <row r="12" spans="1:22" x14ac:dyDescent="0.2">
      <c r="A12" s="175">
        <v>4</v>
      </c>
      <c r="B12" s="172" t="s">
        <v>427</v>
      </c>
      <c r="C12" s="175"/>
      <c r="D12" s="175"/>
      <c r="E12" s="175"/>
      <c r="F12" s="175"/>
      <c r="G12" s="175"/>
      <c r="H12" s="175"/>
      <c r="I12" s="175"/>
      <c r="J12" s="175"/>
      <c r="K12" s="175"/>
      <c r="L12" s="175"/>
      <c r="M12" s="175"/>
      <c r="N12" s="175"/>
      <c r="O12" s="175"/>
      <c r="P12" s="175"/>
      <c r="Q12" s="175"/>
      <c r="R12" s="175"/>
      <c r="S12" s="175"/>
      <c r="T12" s="175"/>
      <c r="U12" s="175"/>
      <c r="V12" s="175"/>
    </row>
    <row r="13" spans="1:22" x14ac:dyDescent="0.2">
      <c r="A13" s="175">
        <v>5</v>
      </c>
      <c r="B13" s="172" t="s">
        <v>428</v>
      </c>
      <c r="C13" s="175"/>
      <c r="D13" s="175"/>
      <c r="E13" s="175"/>
      <c r="F13" s="175"/>
      <c r="G13" s="175"/>
      <c r="H13" s="175"/>
      <c r="I13" s="175"/>
      <c r="J13" s="175"/>
      <c r="K13" s="175"/>
      <c r="L13" s="175"/>
      <c r="M13" s="175"/>
      <c r="N13" s="175"/>
      <c r="O13" s="175"/>
      <c r="P13" s="175"/>
      <c r="Q13" s="175"/>
      <c r="R13" s="175"/>
      <c r="S13" s="175"/>
      <c r="T13" s="175"/>
      <c r="U13" s="175"/>
      <c r="V13" s="175"/>
    </row>
    <row r="14" spans="1:22" x14ac:dyDescent="0.2">
      <c r="A14" s="158">
        <v>6</v>
      </c>
      <c r="B14" s="171" t="s">
        <v>429</v>
      </c>
      <c r="C14" s="174">
        <v>105</v>
      </c>
      <c r="D14" s="176">
        <v>35</v>
      </c>
      <c r="E14" s="176">
        <v>35</v>
      </c>
      <c r="F14" s="176">
        <v>35</v>
      </c>
      <c r="G14" s="177">
        <v>12</v>
      </c>
      <c r="H14" s="177">
        <v>9</v>
      </c>
      <c r="I14" s="177">
        <v>10</v>
      </c>
      <c r="J14" s="177">
        <v>13</v>
      </c>
      <c r="K14" s="177">
        <v>19</v>
      </c>
      <c r="L14" s="177">
        <v>9</v>
      </c>
      <c r="M14" s="177">
        <v>12</v>
      </c>
      <c r="N14" s="177">
        <v>14</v>
      </c>
      <c r="O14" s="177">
        <v>11</v>
      </c>
      <c r="P14" s="177">
        <v>16</v>
      </c>
      <c r="Q14" s="177">
        <v>19</v>
      </c>
      <c r="R14" s="177">
        <v>8</v>
      </c>
      <c r="S14" s="177">
        <v>14</v>
      </c>
      <c r="T14" s="177">
        <v>21</v>
      </c>
      <c r="U14" s="177">
        <v>3</v>
      </c>
      <c r="V14" s="177">
        <v>13</v>
      </c>
    </row>
    <row r="15" spans="1:22" x14ac:dyDescent="0.2">
      <c r="A15" s="158">
        <v>7</v>
      </c>
      <c r="B15" s="171" t="s">
        <v>430</v>
      </c>
      <c r="C15" s="174">
        <v>115</v>
      </c>
      <c r="D15" s="176">
        <v>35</v>
      </c>
      <c r="E15" s="176">
        <v>80</v>
      </c>
      <c r="F15" s="176">
        <v>35</v>
      </c>
      <c r="G15" s="177">
        <v>13</v>
      </c>
      <c r="H15" s="177">
        <v>15</v>
      </c>
      <c r="I15" s="177">
        <v>11</v>
      </c>
      <c r="J15" s="177">
        <v>14</v>
      </c>
      <c r="K15" s="177">
        <v>9</v>
      </c>
      <c r="L15" s="177">
        <v>10</v>
      </c>
      <c r="M15" s="177">
        <v>15</v>
      </c>
      <c r="N15" s="177">
        <v>22</v>
      </c>
      <c r="O15" s="177">
        <v>16</v>
      </c>
      <c r="P15" s="177">
        <v>11</v>
      </c>
      <c r="Q15" s="177">
        <v>20</v>
      </c>
      <c r="R15" s="177">
        <v>13</v>
      </c>
      <c r="S15" s="177">
        <v>10</v>
      </c>
      <c r="T15" s="177">
        <v>12</v>
      </c>
      <c r="U15" s="177">
        <v>0</v>
      </c>
      <c r="V15" s="177">
        <v>11</v>
      </c>
    </row>
    <row r="16" spans="1:22" x14ac:dyDescent="0.2">
      <c r="A16" s="158">
        <v>8</v>
      </c>
      <c r="B16" s="171" t="s">
        <v>431</v>
      </c>
      <c r="C16" s="174">
        <v>123</v>
      </c>
      <c r="D16" s="176">
        <v>35</v>
      </c>
      <c r="E16" s="176">
        <v>80</v>
      </c>
      <c r="F16" s="176">
        <v>35</v>
      </c>
      <c r="G16" s="177">
        <v>9</v>
      </c>
      <c r="H16" s="177">
        <v>10</v>
      </c>
      <c r="I16" s="177">
        <v>8</v>
      </c>
      <c r="J16" s="177">
        <v>10</v>
      </c>
      <c r="K16" s="177">
        <v>11</v>
      </c>
      <c r="L16" s="177">
        <v>14</v>
      </c>
      <c r="M16" s="177">
        <v>11</v>
      </c>
      <c r="N16" s="177">
        <v>10</v>
      </c>
      <c r="O16" s="177">
        <v>6</v>
      </c>
      <c r="P16" s="177">
        <v>15</v>
      </c>
      <c r="Q16" s="177">
        <v>16</v>
      </c>
      <c r="R16" s="177">
        <v>22</v>
      </c>
      <c r="S16" s="177">
        <v>15</v>
      </c>
      <c r="T16" s="177">
        <v>13</v>
      </c>
      <c r="U16" s="177">
        <v>13</v>
      </c>
      <c r="V16" s="177">
        <v>12</v>
      </c>
    </row>
    <row r="17" spans="1:22" x14ac:dyDescent="0.2">
      <c r="A17" s="158">
        <v>9</v>
      </c>
      <c r="B17" s="171" t="s">
        <v>432</v>
      </c>
      <c r="C17" s="174">
        <v>80</v>
      </c>
      <c r="D17" s="176">
        <v>35</v>
      </c>
      <c r="E17" s="176">
        <v>65</v>
      </c>
      <c r="F17" s="176">
        <v>35</v>
      </c>
      <c r="G17" s="177">
        <v>6</v>
      </c>
      <c r="H17" s="177">
        <v>18</v>
      </c>
      <c r="I17" s="177">
        <v>9</v>
      </c>
      <c r="J17" s="177">
        <v>14</v>
      </c>
      <c r="K17" s="177">
        <v>17</v>
      </c>
      <c r="L17" s="177">
        <v>10</v>
      </c>
      <c r="M17" s="177">
        <v>16</v>
      </c>
      <c r="N17" s="177">
        <v>14</v>
      </c>
      <c r="O17" s="177">
        <v>14</v>
      </c>
      <c r="P17" s="177">
        <v>15</v>
      </c>
      <c r="Q17" s="177">
        <v>8</v>
      </c>
      <c r="R17" s="177">
        <v>12</v>
      </c>
      <c r="S17" s="177">
        <v>16</v>
      </c>
      <c r="T17" s="177">
        <v>9</v>
      </c>
      <c r="U17" s="177">
        <v>11</v>
      </c>
      <c r="V17" s="177">
        <v>15</v>
      </c>
    </row>
    <row r="18" spans="1:22" x14ac:dyDescent="0.2">
      <c r="A18" s="158">
        <v>10</v>
      </c>
      <c r="B18" s="171" t="s">
        <v>433</v>
      </c>
      <c r="C18" s="174">
        <v>80</v>
      </c>
      <c r="D18" s="176">
        <v>35</v>
      </c>
      <c r="E18" s="176">
        <v>35</v>
      </c>
      <c r="F18" s="176">
        <v>35</v>
      </c>
      <c r="G18" s="177">
        <v>9</v>
      </c>
      <c r="H18" s="177">
        <v>12</v>
      </c>
      <c r="I18" s="177">
        <v>13</v>
      </c>
      <c r="J18" s="177">
        <v>8</v>
      </c>
      <c r="K18" s="177">
        <v>8</v>
      </c>
      <c r="L18" s="177">
        <v>12</v>
      </c>
      <c r="M18" s="177">
        <v>12</v>
      </c>
      <c r="N18" s="177">
        <v>16</v>
      </c>
      <c r="O18" s="177">
        <v>13</v>
      </c>
      <c r="P18" s="177">
        <v>14</v>
      </c>
      <c r="Q18" s="177">
        <v>18</v>
      </c>
      <c r="R18" s="177">
        <v>13</v>
      </c>
      <c r="S18" s="177">
        <v>12</v>
      </c>
      <c r="T18" s="177">
        <v>18</v>
      </c>
      <c r="U18" s="177">
        <v>8</v>
      </c>
      <c r="V18" s="177">
        <v>14</v>
      </c>
    </row>
    <row r="19" spans="1:22" x14ac:dyDescent="0.2">
      <c r="A19" s="158">
        <v>11</v>
      </c>
      <c r="B19" s="171" t="s">
        <v>434</v>
      </c>
      <c r="C19" s="174">
        <v>115</v>
      </c>
      <c r="D19" s="176">
        <v>35</v>
      </c>
      <c r="E19" s="176">
        <v>80</v>
      </c>
      <c r="F19" s="176">
        <v>65</v>
      </c>
      <c r="G19" s="177">
        <v>12</v>
      </c>
      <c r="H19" s="177">
        <v>11</v>
      </c>
      <c r="I19" s="177">
        <v>14</v>
      </c>
      <c r="J19" s="177">
        <v>16</v>
      </c>
      <c r="K19" s="177">
        <v>12</v>
      </c>
      <c r="L19" s="177">
        <v>13</v>
      </c>
      <c r="M19" s="177">
        <v>14</v>
      </c>
      <c r="N19" s="177">
        <v>7</v>
      </c>
      <c r="O19" s="177">
        <v>14</v>
      </c>
      <c r="P19" s="177">
        <v>19</v>
      </c>
      <c r="Q19" s="177">
        <v>12</v>
      </c>
      <c r="R19" s="177">
        <v>19</v>
      </c>
      <c r="S19" s="177">
        <v>8</v>
      </c>
      <c r="T19" s="177">
        <v>13</v>
      </c>
      <c r="U19" s="177">
        <v>12</v>
      </c>
      <c r="V19" s="177">
        <v>9</v>
      </c>
    </row>
    <row r="20" spans="1:22" x14ac:dyDescent="0.2">
      <c r="A20" s="158">
        <v>12</v>
      </c>
      <c r="B20" s="171" t="s">
        <v>435</v>
      </c>
      <c r="C20" s="174">
        <v>115</v>
      </c>
      <c r="D20" s="176">
        <v>35</v>
      </c>
      <c r="E20" s="176">
        <v>80</v>
      </c>
      <c r="F20" s="176">
        <v>35</v>
      </c>
      <c r="G20" s="177">
        <v>11</v>
      </c>
      <c r="H20" s="177">
        <v>10</v>
      </c>
      <c r="I20" s="177">
        <v>4</v>
      </c>
      <c r="J20" s="177">
        <v>8</v>
      </c>
      <c r="K20" s="177">
        <v>11</v>
      </c>
      <c r="L20" s="177">
        <v>7</v>
      </c>
      <c r="M20" s="177">
        <v>12</v>
      </c>
      <c r="N20" s="177">
        <v>12</v>
      </c>
      <c r="O20" s="177">
        <v>13</v>
      </c>
      <c r="P20" s="177">
        <v>18</v>
      </c>
      <c r="Q20" s="177">
        <v>19</v>
      </c>
      <c r="R20" s="177">
        <v>22</v>
      </c>
      <c r="S20" s="177">
        <v>16</v>
      </c>
      <c r="T20" s="177">
        <v>12</v>
      </c>
      <c r="U20" s="177">
        <v>18</v>
      </c>
      <c r="V20" s="177">
        <v>10</v>
      </c>
    </row>
    <row r="21" spans="1:22" x14ac:dyDescent="0.2">
      <c r="A21" s="158">
        <v>13</v>
      </c>
      <c r="B21" s="171" t="s">
        <v>436</v>
      </c>
      <c r="C21" s="174">
        <v>80</v>
      </c>
      <c r="D21" s="176">
        <v>35</v>
      </c>
      <c r="E21" s="176">
        <v>80</v>
      </c>
      <c r="F21" s="176">
        <v>35</v>
      </c>
      <c r="G21" s="177">
        <v>12</v>
      </c>
      <c r="H21" s="177">
        <v>10</v>
      </c>
      <c r="I21" s="177">
        <v>13</v>
      </c>
      <c r="J21" s="177">
        <v>11</v>
      </c>
      <c r="K21" s="177">
        <v>4</v>
      </c>
      <c r="L21" s="177">
        <v>11</v>
      </c>
      <c r="M21" s="177">
        <v>20</v>
      </c>
      <c r="N21" s="177">
        <v>14</v>
      </c>
      <c r="O21" s="177">
        <v>11</v>
      </c>
      <c r="P21" s="177">
        <v>7</v>
      </c>
      <c r="Q21" s="177">
        <v>19</v>
      </c>
      <c r="R21" s="177">
        <v>18</v>
      </c>
      <c r="S21" s="177">
        <v>15</v>
      </c>
      <c r="T21" s="177">
        <v>19</v>
      </c>
      <c r="U21" s="177">
        <v>7</v>
      </c>
      <c r="V21" s="177">
        <v>16</v>
      </c>
    </row>
    <row r="22" spans="1:22" x14ac:dyDescent="0.2">
      <c r="A22" s="175">
        <v>14</v>
      </c>
      <c r="B22" s="172" t="s">
        <v>437</v>
      </c>
      <c r="C22" s="175"/>
      <c r="D22" s="175"/>
      <c r="E22" s="175"/>
      <c r="F22" s="175"/>
      <c r="G22" s="175"/>
      <c r="H22" s="175"/>
      <c r="I22" s="175"/>
      <c r="J22" s="175"/>
      <c r="K22" s="175"/>
      <c r="L22" s="175"/>
      <c r="M22" s="175"/>
      <c r="N22" s="175"/>
      <c r="O22" s="175"/>
      <c r="P22" s="175"/>
      <c r="Q22" s="175"/>
      <c r="R22" s="175"/>
      <c r="S22" s="175"/>
      <c r="T22" s="175"/>
      <c r="U22" s="175"/>
      <c r="V22" s="175"/>
    </row>
    <row r="23" spans="1:22" x14ac:dyDescent="0.2">
      <c r="A23" s="158">
        <v>15</v>
      </c>
      <c r="B23" s="171" t="s">
        <v>438</v>
      </c>
      <c r="C23" s="174">
        <v>105</v>
      </c>
      <c r="D23" s="176">
        <v>35</v>
      </c>
      <c r="E23" s="176">
        <v>80</v>
      </c>
      <c r="F23" s="176">
        <v>35</v>
      </c>
      <c r="G23" s="177">
        <v>13</v>
      </c>
      <c r="H23" s="177">
        <v>13</v>
      </c>
      <c r="I23" s="177">
        <v>13</v>
      </c>
      <c r="J23" s="177">
        <v>15</v>
      </c>
      <c r="K23" s="177">
        <v>12</v>
      </c>
      <c r="L23" s="177">
        <v>10</v>
      </c>
      <c r="M23" s="177">
        <v>17</v>
      </c>
      <c r="N23" s="177">
        <v>15</v>
      </c>
      <c r="O23" s="177">
        <v>9</v>
      </c>
      <c r="P23" s="177">
        <v>16</v>
      </c>
      <c r="Q23" s="177">
        <v>14</v>
      </c>
      <c r="R23" s="177">
        <v>13</v>
      </c>
      <c r="S23" s="177">
        <v>19</v>
      </c>
      <c r="T23" s="177">
        <v>17</v>
      </c>
      <c r="U23" s="177">
        <v>0</v>
      </c>
      <c r="V23" s="177">
        <v>11</v>
      </c>
    </row>
    <row r="24" spans="1:22" x14ac:dyDescent="0.2">
      <c r="A24" s="175">
        <v>16</v>
      </c>
      <c r="B24" s="172" t="s">
        <v>439</v>
      </c>
      <c r="C24" s="175"/>
      <c r="D24" s="175"/>
      <c r="E24" s="175"/>
      <c r="F24" s="175"/>
      <c r="G24" s="175"/>
      <c r="H24" s="175"/>
      <c r="I24" s="175"/>
      <c r="J24" s="175"/>
      <c r="K24" s="175"/>
      <c r="L24" s="175"/>
      <c r="M24" s="175"/>
      <c r="N24" s="175"/>
      <c r="O24" s="175"/>
      <c r="P24" s="175"/>
      <c r="Q24" s="175"/>
      <c r="R24" s="175"/>
      <c r="S24" s="175"/>
      <c r="T24" s="175"/>
      <c r="U24" s="175"/>
      <c r="V24" s="175"/>
    </row>
    <row r="25" spans="1:22" x14ac:dyDescent="0.2">
      <c r="A25" s="159">
        <v>17</v>
      </c>
      <c r="B25" s="173" t="s">
        <v>440</v>
      </c>
      <c r="C25" s="174">
        <v>80</v>
      </c>
      <c r="D25" s="176">
        <v>35</v>
      </c>
      <c r="E25" s="176">
        <v>80</v>
      </c>
      <c r="F25" s="176">
        <v>65</v>
      </c>
      <c r="G25" s="177">
        <v>15</v>
      </c>
      <c r="H25" s="177">
        <v>13</v>
      </c>
      <c r="I25" s="177">
        <v>10</v>
      </c>
      <c r="J25" s="177">
        <v>13</v>
      </c>
      <c r="K25" s="177">
        <v>11</v>
      </c>
      <c r="L25" s="177">
        <v>5</v>
      </c>
      <c r="M25" s="177">
        <v>12</v>
      </c>
      <c r="N25" s="177">
        <v>17</v>
      </c>
      <c r="O25" s="177">
        <v>7</v>
      </c>
      <c r="P25" s="177">
        <v>22</v>
      </c>
      <c r="Q25" s="177">
        <v>16</v>
      </c>
      <c r="R25" s="177">
        <v>18</v>
      </c>
      <c r="S25" s="177">
        <v>18</v>
      </c>
      <c r="T25" s="177">
        <v>20</v>
      </c>
      <c r="U25" s="177">
        <v>4</v>
      </c>
      <c r="V25" s="177">
        <v>9</v>
      </c>
    </row>
    <row r="26" spans="1:22" x14ac:dyDescent="0.2">
      <c r="A26" s="158">
        <v>18</v>
      </c>
      <c r="B26" s="171" t="s">
        <v>441</v>
      </c>
      <c r="C26" s="174">
        <v>89</v>
      </c>
      <c r="D26" s="176">
        <v>35</v>
      </c>
      <c r="E26" s="176">
        <v>80</v>
      </c>
      <c r="F26" s="176">
        <v>35</v>
      </c>
      <c r="G26" s="177">
        <v>9</v>
      </c>
      <c r="H26" s="177">
        <v>18</v>
      </c>
      <c r="I26" s="177">
        <v>11</v>
      </c>
      <c r="J26" s="177">
        <v>14</v>
      </c>
      <c r="K26" s="177">
        <v>9</v>
      </c>
      <c r="L26" s="177">
        <v>18</v>
      </c>
      <c r="M26" s="177">
        <v>12</v>
      </c>
      <c r="N26" s="177">
        <v>14</v>
      </c>
      <c r="O26" s="177">
        <v>10</v>
      </c>
      <c r="P26" s="177">
        <v>13</v>
      </c>
      <c r="Q26" s="177">
        <v>20</v>
      </c>
      <c r="R26" s="177">
        <v>15</v>
      </c>
      <c r="S26" s="177">
        <v>15</v>
      </c>
      <c r="T26" s="177">
        <v>11</v>
      </c>
      <c r="U26" s="177">
        <v>5</v>
      </c>
      <c r="V26" s="177">
        <v>7</v>
      </c>
    </row>
    <row r="27" spans="1:22" x14ac:dyDescent="0.2">
      <c r="A27" s="158">
        <v>19</v>
      </c>
      <c r="B27" s="171" t="s">
        <v>442</v>
      </c>
      <c r="C27" s="174">
        <v>115</v>
      </c>
      <c r="D27" s="176">
        <v>35</v>
      </c>
      <c r="E27" s="176">
        <v>35</v>
      </c>
      <c r="F27" s="176">
        <v>35</v>
      </c>
      <c r="G27" s="177">
        <v>11</v>
      </c>
      <c r="H27" s="177">
        <v>12</v>
      </c>
      <c r="I27" s="177">
        <v>12</v>
      </c>
      <c r="J27" s="177">
        <v>12</v>
      </c>
      <c r="K27" s="177">
        <v>12</v>
      </c>
      <c r="L27" s="177">
        <v>16</v>
      </c>
      <c r="M27" s="177">
        <v>16</v>
      </c>
      <c r="N27" s="177">
        <v>10</v>
      </c>
      <c r="O27" s="177">
        <v>19</v>
      </c>
      <c r="P27" s="177">
        <v>17</v>
      </c>
      <c r="Q27" s="177">
        <v>13</v>
      </c>
      <c r="R27" s="177">
        <v>12</v>
      </c>
      <c r="S27" s="177">
        <v>11</v>
      </c>
      <c r="T27" s="177">
        <v>12</v>
      </c>
      <c r="U27" s="177">
        <v>11</v>
      </c>
      <c r="V27" s="177">
        <v>13</v>
      </c>
    </row>
    <row r="28" spans="1:22" x14ac:dyDescent="0.2">
      <c r="A28" s="158">
        <v>20</v>
      </c>
      <c r="B28" s="171" t="s">
        <v>443</v>
      </c>
      <c r="C28" s="174">
        <v>115</v>
      </c>
      <c r="D28" s="176">
        <v>35</v>
      </c>
      <c r="E28" s="176">
        <v>80</v>
      </c>
      <c r="F28" s="176">
        <v>65</v>
      </c>
      <c r="G28" s="177">
        <v>13</v>
      </c>
      <c r="H28" s="177">
        <v>18</v>
      </c>
      <c r="I28" s="177">
        <v>11</v>
      </c>
      <c r="J28" s="177">
        <v>20</v>
      </c>
      <c r="K28" s="177">
        <v>12</v>
      </c>
      <c r="L28" s="177">
        <v>8</v>
      </c>
      <c r="M28" s="177">
        <v>13</v>
      </c>
      <c r="N28" s="177">
        <v>14</v>
      </c>
      <c r="O28" s="177">
        <v>15</v>
      </c>
      <c r="P28" s="177">
        <v>13</v>
      </c>
      <c r="Q28" s="177">
        <v>12</v>
      </c>
      <c r="R28" s="177">
        <v>21</v>
      </c>
      <c r="S28" s="177">
        <v>11</v>
      </c>
      <c r="T28" s="177">
        <v>13</v>
      </c>
      <c r="U28" s="177">
        <v>7</v>
      </c>
      <c r="V28" s="177">
        <v>7</v>
      </c>
    </row>
    <row r="29" spans="1:22" x14ac:dyDescent="0.2">
      <c r="A29" s="158">
        <v>21</v>
      </c>
      <c r="B29" s="171" t="s">
        <v>444</v>
      </c>
      <c r="C29" s="174">
        <v>85</v>
      </c>
      <c r="D29" s="176">
        <v>35</v>
      </c>
      <c r="E29" s="176">
        <v>80</v>
      </c>
      <c r="F29" s="176">
        <v>35</v>
      </c>
      <c r="G29" s="177">
        <v>12</v>
      </c>
      <c r="H29" s="177">
        <v>16</v>
      </c>
      <c r="I29" s="177">
        <v>10</v>
      </c>
      <c r="J29" s="177">
        <v>16</v>
      </c>
      <c r="K29" s="177">
        <v>10</v>
      </c>
      <c r="L29" s="177">
        <v>7</v>
      </c>
      <c r="M29" s="177">
        <v>11</v>
      </c>
      <c r="N29" s="177">
        <v>8</v>
      </c>
      <c r="O29" s="177">
        <v>15</v>
      </c>
      <c r="P29" s="177">
        <v>10</v>
      </c>
      <c r="Q29" s="177">
        <v>17</v>
      </c>
      <c r="R29" s="177">
        <v>18</v>
      </c>
      <c r="S29" s="177">
        <v>8</v>
      </c>
      <c r="T29" s="177">
        <v>15</v>
      </c>
      <c r="U29" s="177">
        <v>5</v>
      </c>
      <c r="V29" s="177">
        <v>13</v>
      </c>
    </row>
    <row r="30" spans="1:22" x14ac:dyDescent="0.2">
      <c r="A30" s="175">
        <v>22</v>
      </c>
      <c r="B30" s="172" t="s">
        <v>445</v>
      </c>
      <c r="C30" s="175"/>
      <c r="D30" s="175"/>
      <c r="E30" s="175"/>
      <c r="F30" s="175"/>
      <c r="G30" s="175"/>
      <c r="H30" s="175"/>
      <c r="I30" s="175"/>
      <c r="J30" s="175"/>
      <c r="K30" s="175"/>
      <c r="L30" s="175"/>
      <c r="M30" s="175"/>
      <c r="N30" s="175"/>
      <c r="O30" s="175"/>
      <c r="P30" s="175"/>
      <c r="Q30" s="175"/>
      <c r="R30" s="175"/>
      <c r="S30" s="175"/>
      <c r="T30" s="175"/>
      <c r="U30" s="175"/>
      <c r="V30" s="175"/>
    </row>
    <row r="31" spans="1:22" x14ac:dyDescent="0.2">
      <c r="A31" s="158">
        <v>23</v>
      </c>
      <c r="B31" s="171" t="s">
        <v>446</v>
      </c>
      <c r="C31" s="174">
        <v>80</v>
      </c>
      <c r="D31" s="176">
        <v>35</v>
      </c>
      <c r="E31" s="176">
        <v>80</v>
      </c>
      <c r="F31" s="176">
        <v>35</v>
      </c>
      <c r="G31" s="177">
        <v>7</v>
      </c>
      <c r="H31" s="177">
        <v>11</v>
      </c>
      <c r="I31" s="177">
        <v>13</v>
      </c>
      <c r="J31" s="177">
        <v>15</v>
      </c>
      <c r="K31" s="177">
        <v>12</v>
      </c>
      <c r="L31" s="177">
        <v>6</v>
      </c>
      <c r="M31" s="177">
        <v>10</v>
      </c>
      <c r="N31" s="177">
        <v>18</v>
      </c>
      <c r="O31" s="177">
        <v>23</v>
      </c>
      <c r="P31" s="177">
        <v>12</v>
      </c>
      <c r="Q31" s="177">
        <v>13</v>
      </c>
      <c r="R31" s="177">
        <v>15</v>
      </c>
      <c r="S31" s="177">
        <v>13</v>
      </c>
      <c r="T31" s="177">
        <v>21</v>
      </c>
      <c r="U31" s="177">
        <v>4</v>
      </c>
      <c r="V31" s="177">
        <v>9</v>
      </c>
    </row>
    <row r="32" spans="1:22" x14ac:dyDescent="0.2">
      <c r="A32" s="158">
        <v>24</v>
      </c>
      <c r="B32" s="171" t="s">
        <v>447</v>
      </c>
      <c r="C32" s="174">
        <v>89</v>
      </c>
      <c r="D32" s="176">
        <v>35</v>
      </c>
      <c r="E32" s="176">
        <v>65</v>
      </c>
      <c r="F32" s="176">
        <v>35</v>
      </c>
      <c r="G32" s="177">
        <v>9</v>
      </c>
      <c r="H32" s="177">
        <v>14</v>
      </c>
      <c r="I32" s="177">
        <v>9</v>
      </c>
      <c r="J32" s="177">
        <v>13</v>
      </c>
      <c r="K32" s="177">
        <v>13</v>
      </c>
      <c r="L32" s="177">
        <v>12</v>
      </c>
      <c r="M32" s="177">
        <v>20</v>
      </c>
      <c r="N32" s="177">
        <v>9</v>
      </c>
      <c r="O32" s="177">
        <v>6</v>
      </c>
      <c r="P32" s="177">
        <v>13</v>
      </c>
      <c r="Q32" s="177">
        <v>13</v>
      </c>
      <c r="R32" s="177">
        <v>14</v>
      </c>
      <c r="S32" s="177">
        <v>20</v>
      </c>
      <c r="T32" s="177">
        <v>15</v>
      </c>
      <c r="U32" s="177">
        <v>20</v>
      </c>
      <c r="V32" s="177">
        <v>18</v>
      </c>
    </row>
    <row r="33" spans="1:22" x14ac:dyDescent="0.2">
      <c r="A33" s="158">
        <v>25</v>
      </c>
      <c r="B33" s="173" t="s">
        <v>448</v>
      </c>
      <c r="C33" s="174">
        <v>110</v>
      </c>
      <c r="D33" s="176">
        <v>35</v>
      </c>
      <c r="E33" s="176">
        <v>80</v>
      </c>
      <c r="F33" s="176">
        <v>65</v>
      </c>
      <c r="G33" s="177">
        <v>8</v>
      </c>
      <c r="H33" s="177">
        <v>13</v>
      </c>
      <c r="I33" s="177">
        <v>10</v>
      </c>
      <c r="J33" s="177">
        <v>11</v>
      </c>
      <c r="K33" s="177">
        <v>11</v>
      </c>
      <c r="L33" s="177">
        <v>7</v>
      </c>
      <c r="M33" s="177">
        <v>16</v>
      </c>
      <c r="N33" s="177">
        <v>15</v>
      </c>
      <c r="O33" s="177">
        <v>23</v>
      </c>
      <c r="P33" s="177">
        <v>19</v>
      </c>
      <c r="Q33" s="177">
        <v>20</v>
      </c>
      <c r="R33" s="177">
        <v>21</v>
      </c>
      <c r="S33" s="177">
        <v>8</v>
      </c>
      <c r="T33" s="177">
        <v>22</v>
      </c>
      <c r="U33" s="177">
        <v>4</v>
      </c>
      <c r="V33" s="177">
        <v>9</v>
      </c>
    </row>
    <row r="34" spans="1:22" x14ac:dyDescent="0.2">
      <c r="A34" s="158">
        <v>26</v>
      </c>
      <c r="B34" s="171" t="s">
        <v>449</v>
      </c>
      <c r="C34" s="174">
        <v>115</v>
      </c>
      <c r="D34" s="176">
        <v>35</v>
      </c>
      <c r="E34" s="176">
        <v>80</v>
      </c>
      <c r="F34" s="176">
        <v>65</v>
      </c>
      <c r="G34" s="177">
        <v>7</v>
      </c>
      <c r="H34" s="177">
        <v>13</v>
      </c>
      <c r="I34" s="177">
        <v>15</v>
      </c>
      <c r="J34" s="177">
        <v>13</v>
      </c>
      <c r="K34" s="177">
        <v>19</v>
      </c>
      <c r="L34" s="177">
        <v>17</v>
      </c>
      <c r="M34" s="177">
        <v>16</v>
      </c>
      <c r="N34" s="177">
        <v>18</v>
      </c>
      <c r="O34" s="177">
        <v>9</v>
      </c>
      <c r="P34" s="177">
        <v>10</v>
      </c>
      <c r="Q34" s="177">
        <v>16</v>
      </c>
      <c r="R34" s="177">
        <v>14</v>
      </c>
      <c r="S34" s="177">
        <v>17</v>
      </c>
      <c r="T34" s="177">
        <v>19</v>
      </c>
      <c r="U34" s="177">
        <v>2</v>
      </c>
      <c r="V34" s="177">
        <v>10</v>
      </c>
    </row>
    <row r="35" spans="1:22" x14ac:dyDescent="0.2">
      <c r="A35" s="179">
        <v>27</v>
      </c>
      <c r="B35" s="180" t="s">
        <v>450</v>
      </c>
      <c r="C35" s="175"/>
      <c r="D35" s="175"/>
      <c r="E35" s="175"/>
      <c r="F35" s="175"/>
      <c r="G35" s="175"/>
      <c r="H35" s="175"/>
      <c r="I35" s="175"/>
      <c r="J35" s="175"/>
      <c r="K35" s="175"/>
      <c r="L35" s="175"/>
      <c r="M35" s="175"/>
      <c r="N35" s="175"/>
      <c r="O35" s="175"/>
      <c r="P35" s="175"/>
      <c r="Q35" s="175"/>
      <c r="R35" s="175"/>
      <c r="S35" s="175"/>
      <c r="T35" s="175"/>
      <c r="U35" s="175"/>
      <c r="V35" s="175"/>
    </row>
    <row r="36" spans="1:22" x14ac:dyDescent="0.2">
      <c r="A36" s="158">
        <v>28</v>
      </c>
      <c r="B36" s="171" t="s">
        <v>451</v>
      </c>
      <c r="C36" s="174">
        <v>80</v>
      </c>
      <c r="D36" s="176">
        <v>35</v>
      </c>
      <c r="E36" s="176">
        <v>80</v>
      </c>
      <c r="F36" s="176">
        <v>35</v>
      </c>
      <c r="G36" s="177">
        <v>8</v>
      </c>
      <c r="H36" s="177">
        <v>13</v>
      </c>
      <c r="I36" s="177">
        <v>12</v>
      </c>
      <c r="J36" s="177">
        <v>19</v>
      </c>
      <c r="K36" s="177">
        <v>10</v>
      </c>
      <c r="L36" s="177">
        <v>16</v>
      </c>
      <c r="M36" s="177">
        <v>11</v>
      </c>
      <c r="N36" s="177">
        <v>8</v>
      </c>
      <c r="O36" s="177">
        <v>15</v>
      </c>
      <c r="P36" s="177">
        <v>8</v>
      </c>
      <c r="Q36" s="177">
        <v>17</v>
      </c>
      <c r="R36" s="177">
        <v>16</v>
      </c>
      <c r="S36" s="177">
        <v>15</v>
      </c>
      <c r="T36" s="177">
        <v>13</v>
      </c>
      <c r="U36" s="177">
        <v>13</v>
      </c>
      <c r="V36" s="177">
        <v>13</v>
      </c>
    </row>
    <row r="37" spans="1:22" x14ac:dyDescent="0.2">
      <c r="A37" s="158">
        <v>29</v>
      </c>
      <c r="B37" s="171" t="s">
        <v>452</v>
      </c>
      <c r="C37" s="174">
        <v>115</v>
      </c>
      <c r="D37" s="176">
        <v>35</v>
      </c>
      <c r="E37" s="176">
        <v>80</v>
      </c>
      <c r="F37" s="176">
        <v>35</v>
      </c>
      <c r="G37" s="177">
        <v>10</v>
      </c>
      <c r="H37" s="177">
        <v>9</v>
      </c>
      <c r="I37" s="177">
        <v>10</v>
      </c>
      <c r="J37" s="177">
        <v>12</v>
      </c>
      <c r="K37" s="177">
        <v>8</v>
      </c>
      <c r="L37" s="177">
        <v>15</v>
      </c>
      <c r="M37" s="177">
        <v>17</v>
      </c>
      <c r="N37" s="177">
        <v>11</v>
      </c>
      <c r="O37" s="177">
        <v>16</v>
      </c>
      <c r="P37" s="177">
        <v>9</v>
      </c>
      <c r="Q37" s="177">
        <v>20</v>
      </c>
      <c r="R37" s="177">
        <v>26</v>
      </c>
      <c r="S37" s="177">
        <v>10</v>
      </c>
      <c r="T37" s="177">
        <v>10</v>
      </c>
      <c r="U37" s="177">
        <v>5</v>
      </c>
      <c r="V37" s="177">
        <v>15</v>
      </c>
    </row>
    <row r="38" spans="1:22" x14ac:dyDescent="0.2">
      <c r="A38" s="158">
        <v>30</v>
      </c>
      <c r="B38" s="171" t="s">
        <v>453</v>
      </c>
      <c r="C38" s="174">
        <v>109</v>
      </c>
      <c r="D38" s="176">
        <v>35</v>
      </c>
      <c r="E38" s="176">
        <v>80</v>
      </c>
      <c r="F38" s="176">
        <v>35</v>
      </c>
      <c r="G38" s="177">
        <v>12</v>
      </c>
      <c r="H38" s="177">
        <v>14</v>
      </c>
      <c r="I38" s="177">
        <v>12</v>
      </c>
      <c r="J38" s="177">
        <v>14</v>
      </c>
      <c r="K38" s="177">
        <v>11</v>
      </c>
      <c r="L38" s="177">
        <v>8</v>
      </c>
      <c r="M38" s="177">
        <v>18</v>
      </c>
      <c r="N38" s="177">
        <v>16</v>
      </c>
      <c r="O38" s="177">
        <v>12</v>
      </c>
      <c r="P38" s="177">
        <v>11</v>
      </c>
      <c r="Q38" s="177">
        <v>19</v>
      </c>
      <c r="R38" s="177">
        <v>16</v>
      </c>
      <c r="S38" s="177">
        <v>19</v>
      </c>
      <c r="T38" s="177">
        <v>19</v>
      </c>
      <c r="U38" s="177">
        <v>0</v>
      </c>
      <c r="V38" s="177">
        <v>6</v>
      </c>
    </row>
    <row r="39" spans="1:22" x14ac:dyDescent="0.2">
      <c r="A39" s="158">
        <v>31</v>
      </c>
      <c r="B39" s="171" t="s">
        <v>454</v>
      </c>
      <c r="C39" s="174">
        <v>115</v>
      </c>
      <c r="D39" s="176">
        <v>35</v>
      </c>
      <c r="E39" s="176">
        <v>80</v>
      </c>
      <c r="F39" s="176">
        <v>65</v>
      </c>
      <c r="G39" s="177">
        <v>12</v>
      </c>
      <c r="H39" s="177">
        <v>13</v>
      </c>
      <c r="I39" s="177">
        <v>13</v>
      </c>
      <c r="J39" s="177">
        <v>17</v>
      </c>
      <c r="K39" s="177">
        <v>11</v>
      </c>
      <c r="L39" s="177">
        <v>9</v>
      </c>
      <c r="M39" s="177">
        <v>16</v>
      </c>
      <c r="N39" s="177">
        <v>13</v>
      </c>
      <c r="O39" s="177">
        <v>12</v>
      </c>
      <c r="P39" s="177">
        <v>6</v>
      </c>
      <c r="Q39" s="177">
        <v>21</v>
      </c>
      <c r="R39" s="177">
        <v>23</v>
      </c>
      <c r="S39" s="177">
        <v>17</v>
      </c>
      <c r="T39" s="177">
        <v>21</v>
      </c>
      <c r="U39" s="177">
        <v>0</v>
      </c>
      <c r="V39" s="177">
        <v>10</v>
      </c>
    </row>
    <row r="40" spans="1:22" x14ac:dyDescent="0.2">
      <c r="A40" s="158">
        <v>32</v>
      </c>
      <c r="B40" s="178" t="s">
        <v>455</v>
      </c>
      <c r="C40" s="174">
        <v>110</v>
      </c>
      <c r="D40" s="176">
        <v>35</v>
      </c>
      <c r="E40" s="176">
        <v>35</v>
      </c>
      <c r="F40" s="176">
        <v>35</v>
      </c>
      <c r="G40" s="177">
        <v>14</v>
      </c>
      <c r="H40" s="177">
        <v>17</v>
      </c>
      <c r="I40" s="177">
        <v>13</v>
      </c>
      <c r="J40" s="177">
        <v>9</v>
      </c>
      <c r="K40" s="177">
        <v>10</v>
      </c>
      <c r="L40" s="177">
        <v>12</v>
      </c>
      <c r="M40" s="177">
        <v>18</v>
      </c>
      <c r="N40" s="177">
        <v>13</v>
      </c>
      <c r="O40" s="177">
        <v>12</v>
      </c>
      <c r="P40" s="177">
        <v>12</v>
      </c>
      <c r="Q40" s="177">
        <v>20</v>
      </c>
      <c r="R40" s="177">
        <v>24</v>
      </c>
      <c r="S40" s="177">
        <v>11</v>
      </c>
      <c r="T40" s="177">
        <v>17</v>
      </c>
      <c r="U40" s="177">
        <v>0</v>
      </c>
      <c r="V40" s="177">
        <v>8</v>
      </c>
    </row>
    <row r="41" spans="1:22" x14ac:dyDescent="0.2">
      <c r="A41" s="158">
        <v>33</v>
      </c>
      <c r="B41" s="178" t="s">
        <v>456</v>
      </c>
      <c r="C41" s="174">
        <v>80</v>
      </c>
      <c r="D41" s="176">
        <v>35</v>
      </c>
      <c r="E41" s="176">
        <v>35</v>
      </c>
      <c r="F41" s="176">
        <v>35</v>
      </c>
      <c r="G41" s="177">
        <v>10</v>
      </c>
      <c r="H41" s="177">
        <v>16</v>
      </c>
      <c r="I41" s="177">
        <v>12</v>
      </c>
      <c r="J41" s="177">
        <v>13</v>
      </c>
      <c r="K41" s="177">
        <v>14</v>
      </c>
      <c r="L41" s="177">
        <v>11</v>
      </c>
      <c r="M41" s="177">
        <v>15</v>
      </c>
      <c r="N41" s="177">
        <v>12</v>
      </c>
      <c r="O41" s="177">
        <v>13</v>
      </c>
      <c r="P41" s="177">
        <v>16</v>
      </c>
      <c r="Q41" s="177">
        <v>16</v>
      </c>
      <c r="R41" s="177">
        <v>10</v>
      </c>
      <c r="S41" s="177">
        <v>12</v>
      </c>
      <c r="T41" s="177">
        <v>12</v>
      </c>
      <c r="U41" s="177">
        <v>12</v>
      </c>
      <c r="V41" s="177">
        <v>10</v>
      </c>
    </row>
  </sheetData>
  <mergeCells count="9">
    <mergeCell ref="A3:V3"/>
    <mergeCell ref="A4:V4"/>
    <mergeCell ref="A5:V5"/>
    <mergeCell ref="A6:V6"/>
    <mergeCell ref="A7:A8"/>
    <mergeCell ref="B7:B8"/>
    <mergeCell ref="C7:C8"/>
    <mergeCell ref="D7:F7"/>
    <mergeCell ref="G7:V7"/>
  </mergeCells>
  <pageMargins left="0.7" right="0.7" top="0.75" bottom="0.75" header="0.3" footer="0.3"/>
  <pageSetup paperSize="20000"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8872E-8BE4-40FA-99CC-D397D9B8A4A0}">
  <dimension ref="A3:AI39"/>
  <sheetViews>
    <sheetView view="pageBreakPreview" zoomScaleNormal="100" zoomScaleSheetLayoutView="100" workbookViewId="0">
      <selection activeCell="D9" sqref="D9:F34"/>
    </sheetView>
  </sheetViews>
  <sheetFormatPr defaultColWidth="11.43359375" defaultRowHeight="15" x14ac:dyDescent="0.2"/>
  <cols>
    <col min="1" max="1" width="5.24609375" customWidth="1"/>
    <col min="2" max="2" width="48.42578125" bestFit="1" customWidth="1"/>
    <col min="3" max="3" width="7.80078125" customWidth="1"/>
    <col min="4" max="22" width="5.91796875" customWidth="1"/>
  </cols>
  <sheetData>
    <row r="3" spans="1:35" ht="21.75" x14ac:dyDescent="0.3">
      <c r="A3" s="181" t="s">
        <v>420</v>
      </c>
      <c r="B3" s="181"/>
      <c r="C3" s="181"/>
      <c r="D3" s="181"/>
      <c r="E3" s="181"/>
      <c r="F3" s="181"/>
      <c r="G3" s="181"/>
      <c r="H3" s="181"/>
      <c r="I3" s="181"/>
      <c r="J3" s="181"/>
      <c r="K3" s="181"/>
      <c r="L3" s="181"/>
      <c r="M3" s="181"/>
      <c r="N3" s="181"/>
      <c r="O3" s="181"/>
      <c r="P3" s="181"/>
      <c r="Q3" s="181"/>
      <c r="R3" s="181"/>
      <c r="S3" s="181"/>
      <c r="T3" s="181"/>
      <c r="U3" s="181"/>
      <c r="V3" s="181"/>
      <c r="W3" s="160"/>
      <c r="X3" s="160"/>
      <c r="Y3" s="160"/>
      <c r="Z3" s="160"/>
      <c r="AA3" s="160"/>
      <c r="AB3" s="160"/>
      <c r="AC3" s="160"/>
      <c r="AD3" s="160"/>
      <c r="AE3" s="160"/>
      <c r="AF3" s="160"/>
      <c r="AG3" s="160"/>
      <c r="AH3" s="160"/>
      <c r="AI3" s="160"/>
    </row>
    <row r="4" spans="1:35" ht="18.75" x14ac:dyDescent="0.25">
      <c r="A4" s="182" t="s">
        <v>421</v>
      </c>
      <c r="B4" s="182"/>
      <c r="C4" s="182"/>
      <c r="D4" s="182"/>
      <c r="E4" s="182"/>
      <c r="F4" s="182"/>
      <c r="G4" s="182"/>
      <c r="H4" s="182"/>
      <c r="I4" s="182"/>
      <c r="J4" s="182"/>
      <c r="K4" s="182"/>
      <c r="L4" s="182"/>
      <c r="M4" s="182"/>
      <c r="N4" s="182"/>
      <c r="O4" s="182"/>
      <c r="P4" s="182"/>
      <c r="Q4" s="182"/>
      <c r="R4" s="182"/>
      <c r="S4" s="182"/>
      <c r="T4" s="182"/>
      <c r="U4" s="182"/>
      <c r="V4" s="182"/>
      <c r="W4" s="161"/>
      <c r="X4" s="161"/>
      <c r="Y4" s="161"/>
      <c r="Z4" s="161"/>
      <c r="AA4" s="161"/>
      <c r="AB4" s="161"/>
      <c r="AC4" s="161"/>
      <c r="AD4" s="161"/>
      <c r="AE4" s="161"/>
      <c r="AF4" s="161"/>
      <c r="AG4" s="161"/>
      <c r="AH4" s="161"/>
      <c r="AI4" s="161"/>
    </row>
    <row r="5" spans="1:35" ht="18.75" x14ac:dyDescent="0.25">
      <c r="A5" s="182" t="s">
        <v>543</v>
      </c>
      <c r="B5" s="182"/>
      <c r="C5" s="182"/>
      <c r="D5" s="182"/>
      <c r="E5" s="182"/>
      <c r="F5" s="182"/>
      <c r="G5" s="182"/>
      <c r="H5" s="182"/>
      <c r="I5" s="182"/>
      <c r="J5" s="182"/>
      <c r="K5" s="182"/>
      <c r="L5" s="182"/>
      <c r="M5" s="182"/>
      <c r="N5" s="182"/>
      <c r="O5" s="182"/>
      <c r="P5" s="182"/>
      <c r="Q5" s="182"/>
      <c r="R5" s="182"/>
      <c r="S5" s="182"/>
      <c r="T5" s="182"/>
      <c r="U5" s="182"/>
      <c r="V5" s="182"/>
      <c r="W5" s="161"/>
      <c r="X5" s="161"/>
      <c r="Y5" s="161"/>
      <c r="Z5" s="161"/>
      <c r="AA5" s="161"/>
      <c r="AB5" s="161"/>
      <c r="AC5" s="161"/>
      <c r="AD5" s="161"/>
      <c r="AE5" s="161"/>
      <c r="AF5" s="161"/>
      <c r="AG5" s="161"/>
      <c r="AH5" s="161"/>
      <c r="AI5" s="161"/>
    </row>
    <row r="6" spans="1:35" x14ac:dyDescent="0.2">
      <c r="A6" s="186"/>
      <c r="B6" s="186"/>
      <c r="C6" s="186"/>
      <c r="D6" s="186"/>
      <c r="E6" s="186"/>
      <c r="F6" s="186"/>
      <c r="G6" s="186"/>
      <c r="H6" s="186"/>
      <c r="I6" s="186"/>
      <c r="J6" s="186"/>
      <c r="K6" s="186"/>
      <c r="L6" s="186"/>
      <c r="M6" s="186"/>
      <c r="N6" s="186"/>
      <c r="O6" s="186"/>
      <c r="P6" s="186"/>
      <c r="Q6" s="186"/>
      <c r="R6" s="186"/>
      <c r="S6" s="186"/>
      <c r="T6" s="186"/>
      <c r="U6" s="186"/>
      <c r="V6" s="186"/>
    </row>
    <row r="7" spans="1:35" x14ac:dyDescent="0.2">
      <c r="A7" s="187" t="s">
        <v>0</v>
      </c>
      <c r="B7" s="187" t="s">
        <v>379</v>
      </c>
      <c r="C7" s="187" t="s">
        <v>2</v>
      </c>
      <c r="D7" s="187" t="s">
        <v>417</v>
      </c>
      <c r="E7" s="187"/>
      <c r="F7" s="187"/>
      <c r="G7" s="183" t="s">
        <v>418</v>
      </c>
      <c r="H7" s="184"/>
      <c r="I7" s="184"/>
      <c r="J7" s="184"/>
      <c r="K7" s="184"/>
      <c r="L7" s="184"/>
      <c r="M7" s="184"/>
      <c r="N7" s="184"/>
      <c r="O7" s="184"/>
      <c r="P7" s="184"/>
      <c r="Q7" s="184"/>
      <c r="R7" s="184"/>
      <c r="S7" s="184"/>
      <c r="T7" s="184"/>
      <c r="U7" s="184"/>
      <c r="V7" s="185"/>
    </row>
    <row r="8" spans="1:35" x14ac:dyDescent="0.2">
      <c r="A8" s="187"/>
      <c r="B8" s="187"/>
      <c r="C8" s="187"/>
      <c r="D8" s="162">
        <v>1</v>
      </c>
      <c r="E8" s="162">
        <v>2</v>
      </c>
      <c r="F8" s="162">
        <v>3</v>
      </c>
      <c r="G8" s="162">
        <v>1</v>
      </c>
      <c r="H8" s="162">
        <v>2</v>
      </c>
      <c r="I8" s="162">
        <v>3</v>
      </c>
      <c r="J8" s="162">
        <v>4</v>
      </c>
      <c r="K8" s="162">
        <v>5</v>
      </c>
      <c r="L8" s="162">
        <v>6</v>
      </c>
      <c r="M8" s="162">
        <v>7</v>
      </c>
      <c r="N8" s="162">
        <v>8</v>
      </c>
      <c r="O8" s="162">
        <v>9</v>
      </c>
      <c r="P8" s="162">
        <v>10</v>
      </c>
      <c r="Q8" s="162">
        <v>11</v>
      </c>
      <c r="R8" s="162">
        <v>12</v>
      </c>
      <c r="S8" s="162">
        <v>13</v>
      </c>
      <c r="T8" s="162">
        <v>14</v>
      </c>
      <c r="U8" s="162">
        <v>15</v>
      </c>
      <c r="V8" s="162">
        <v>16</v>
      </c>
    </row>
    <row r="9" spans="1:35" x14ac:dyDescent="0.2">
      <c r="A9" s="158">
        <v>1</v>
      </c>
      <c r="B9" s="171" t="s">
        <v>457</v>
      </c>
      <c r="C9" s="174">
        <v>115</v>
      </c>
      <c r="D9" s="176">
        <v>35</v>
      </c>
      <c r="E9" s="176">
        <v>80</v>
      </c>
      <c r="F9" s="176">
        <v>65</v>
      </c>
      <c r="G9" s="177">
        <v>9</v>
      </c>
      <c r="H9" s="177">
        <v>15</v>
      </c>
      <c r="I9" s="177">
        <v>10</v>
      </c>
      <c r="J9" s="177">
        <v>12</v>
      </c>
      <c r="K9" s="177">
        <v>16</v>
      </c>
      <c r="L9" s="177">
        <v>9</v>
      </c>
      <c r="M9" s="177">
        <v>13</v>
      </c>
      <c r="N9" s="177">
        <v>20</v>
      </c>
      <c r="O9" s="177">
        <v>13</v>
      </c>
      <c r="P9" s="177">
        <v>15</v>
      </c>
      <c r="Q9" s="177">
        <v>11</v>
      </c>
      <c r="R9" s="177">
        <v>9</v>
      </c>
      <c r="S9" s="177">
        <v>14</v>
      </c>
      <c r="T9" s="177">
        <v>15</v>
      </c>
      <c r="U9" s="177">
        <v>11</v>
      </c>
      <c r="V9" s="177">
        <v>12</v>
      </c>
    </row>
    <row r="10" spans="1:35" x14ac:dyDescent="0.2">
      <c r="A10" s="158">
        <v>2</v>
      </c>
      <c r="B10" s="171" t="s">
        <v>458</v>
      </c>
      <c r="C10" s="174">
        <v>85</v>
      </c>
      <c r="D10" s="176">
        <v>35</v>
      </c>
      <c r="E10" s="176">
        <v>35</v>
      </c>
      <c r="F10" s="176">
        <v>35</v>
      </c>
      <c r="G10" s="177">
        <v>7</v>
      </c>
      <c r="H10" s="177">
        <v>13</v>
      </c>
      <c r="I10" s="177">
        <v>8</v>
      </c>
      <c r="J10" s="177">
        <v>17</v>
      </c>
      <c r="K10" s="177">
        <v>14</v>
      </c>
      <c r="L10" s="177">
        <v>14</v>
      </c>
      <c r="M10" s="177">
        <v>15</v>
      </c>
      <c r="N10" s="177">
        <v>13</v>
      </c>
      <c r="O10" s="177">
        <v>10</v>
      </c>
      <c r="P10" s="177">
        <v>12</v>
      </c>
      <c r="Q10" s="177">
        <v>15</v>
      </c>
      <c r="R10" s="177">
        <v>16</v>
      </c>
      <c r="S10" s="177">
        <v>12</v>
      </c>
      <c r="T10" s="177">
        <v>13</v>
      </c>
      <c r="U10" s="177">
        <v>11</v>
      </c>
      <c r="V10" s="177">
        <v>13</v>
      </c>
    </row>
    <row r="11" spans="1:35" x14ac:dyDescent="0.2">
      <c r="A11" s="158">
        <v>3</v>
      </c>
      <c r="B11" s="171" t="s">
        <v>459</v>
      </c>
      <c r="C11" s="174">
        <v>80</v>
      </c>
      <c r="D11" s="176">
        <v>35</v>
      </c>
      <c r="E11" s="176">
        <v>35</v>
      </c>
      <c r="F11" s="176">
        <v>35</v>
      </c>
      <c r="G11" s="177">
        <v>12</v>
      </c>
      <c r="H11" s="177">
        <v>15</v>
      </c>
      <c r="I11" s="177">
        <v>11</v>
      </c>
      <c r="J11" s="177">
        <v>15</v>
      </c>
      <c r="K11" s="177">
        <v>12</v>
      </c>
      <c r="L11" s="177">
        <v>12</v>
      </c>
      <c r="M11" s="177">
        <v>4</v>
      </c>
      <c r="N11" s="177">
        <v>12</v>
      </c>
      <c r="O11" s="177">
        <v>17</v>
      </c>
      <c r="P11" s="177">
        <v>19</v>
      </c>
      <c r="Q11" s="177">
        <v>15</v>
      </c>
      <c r="R11" s="177">
        <v>14</v>
      </c>
      <c r="S11" s="177">
        <v>8</v>
      </c>
      <c r="T11" s="177">
        <v>16</v>
      </c>
      <c r="U11" s="177">
        <v>10</v>
      </c>
      <c r="V11" s="177">
        <v>15</v>
      </c>
    </row>
    <row r="12" spans="1:35" x14ac:dyDescent="0.2">
      <c r="A12" s="158">
        <v>4</v>
      </c>
      <c r="B12" s="171" t="s">
        <v>460</v>
      </c>
      <c r="C12" s="174">
        <v>85</v>
      </c>
      <c r="D12" s="176">
        <v>35</v>
      </c>
      <c r="E12" s="176">
        <v>35</v>
      </c>
      <c r="F12" s="176">
        <v>35</v>
      </c>
      <c r="G12" s="177">
        <v>9</v>
      </c>
      <c r="H12" s="177">
        <v>11</v>
      </c>
      <c r="I12" s="177">
        <v>13</v>
      </c>
      <c r="J12" s="177">
        <v>10</v>
      </c>
      <c r="K12" s="177">
        <v>14</v>
      </c>
      <c r="L12" s="177">
        <v>11</v>
      </c>
      <c r="M12" s="177">
        <v>13</v>
      </c>
      <c r="N12" s="177">
        <v>16</v>
      </c>
      <c r="O12" s="177">
        <v>10</v>
      </c>
      <c r="P12" s="177">
        <v>16</v>
      </c>
      <c r="Q12" s="177">
        <v>12</v>
      </c>
      <c r="R12" s="177">
        <v>13</v>
      </c>
      <c r="S12" s="177">
        <v>12</v>
      </c>
      <c r="T12" s="177">
        <v>13</v>
      </c>
      <c r="U12" s="177">
        <v>19</v>
      </c>
      <c r="V12" s="177">
        <v>14</v>
      </c>
    </row>
    <row r="13" spans="1:35" x14ac:dyDescent="0.2">
      <c r="A13" s="158">
        <v>5</v>
      </c>
      <c r="B13" s="171" t="s">
        <v>461</v>
      </c>
      <c r="C13" s="174">
        <v>80</v>
      </c>
      <c r="D13" s="176">
        <v>35</v>
      </c>
      <c r="E13" s="176">
        <v>80</v>
      </c>
      <c r="F13" s="176">
        <v>35</v>
      </c>
      <c r="G13" s="177">
        <v>11</v>
      </c>
      <c r="H13" s="177">
        <v>14</v>
      </c>
      <c r="I13" s="177">
        <v>9</v>
      </c>
      <c r="J13" s="177">
        <v>9</v>
      </c>
      <c r="K13" s="177">
        <v>12</v>
      </c>
      <c r="L13" s="177">
        <v>12</v>
      </c>
      <c r="M13" s="177">
        <v>13</v>
      </c>
      <c r="N13" s="177">
        <v>18</v>
      </c>
      <c r="O13" s="177">
        <v>12</v>
      </c>
      <c r="P13" s="177">
        <v>10</v>
      </c>
      <c r="Q13" s="177">
        <v>20</v>
      </c>
      <c r="R13" s="177">
        <v>19</v>
      </c>
      <c r="S13" s="177">
        <v>10</v>
      </c>
      <c r="T13" s="177">
        <v>16</v>
      </c>
      <c r="U13" s="177">
        <v>10</v>
      </c>
      <c r="V13" s="177">
        <v>11</v>
      </c>
    </row>
    <row r="14" spans="1:35" x14ac:dyDescent="0.2">
      <c r="A14" s="158">
        <v>6</v>
      </c>
      <c r="B14" s="171" t="s">
        <v>462</v>
      </c>
      <c r="C14" s="174">
        <v>110</v>
      </c>
      <c r="D14" s="176">
        <v>35</v>
      </c>
      <c r="E14" s="176">
        <v>80</v>
      </c>
      <c r="F14" s="176">
        <v>65</v>
      </c>
      <c r="G14" s="177">
        <v>12</v>
      </c>
      <c r="H14" s="177">
        <v>8</v>
      </c>
      <c r="I14" s="177">
        <v>10</v>
      </c>
      <c r="J14" s="177">
        <v>8</v>
      </c>
      <c r="K14" s="177">
        <v>11</v>
      </c>
      <c r="L14" s="177">
        <v>12</v>
      </c>
      <c r="M14" s="177">
        <v>18</v>
      </c>
      <c r="N14" s="177">
        <v>13</v>
      </c>
      <c r="O14" s="177">
        <v>19</v>
      </c>
      <c r="P14" s="177">
        <v>9</v>
      </c>
      <c r="Q14" s="177">
        <v>14</v>
      </c>
      <c r="R14" s="177">
        <v>16</v>
      </c>
      <c r="S14" s="177">
        <v>12</v>
      </c>
      <c r="T14" s="177">
        <v>14</v>
      </c>
      <c r="U14" s="177">
        <v>18</v>
      </c>
      <c r="V14" s="177">
        <v>13</v>
      </c>
    </row>
    <row r="15" spans="1:35" x14ac:dyDescent="0.2">
      <c r="A15" s="158">
        <v>7</v>
      </c>
      <c r="B15" s="171" t="s">
        <v>463</v>
      </c>
      <c r="C15" s="174">
        <v>115</v>
      </c>
      <c r="D15" s="176">
        <v>35</v>
      </c>
      <c r="E15" s="176">
        <v>80</v>
      </c>
      <c r="F15" s="176">
        <v>65</v>
      </c>
      <c r="G15" s="177">
        <v>7</v>
      </c>
      <c r="H15" s="177">
        <v>12</v>
      </c>
      <c r="I15" s="177">
        <v>8</v>
      </c>
      <c r="J15" s="177">
        <v>10</v>
      </c>
      <c r="K15" s="177">
        <v>11</v>
      </c>
      <c r="L15" s="177">
        <v>15</v>
      </c>
      <c r="M15" s="177">
        <v>15</v>
      </c>
      <c r="N15" s="177">
        <v>12</v>
      </c>
      <c r="O15" s="177">
        <v>10</v>
      </c>
      <c r="P15" s="177">
        <v>19</v>
      </c>
      <c r="Q15" s="177">
        <v>14</v>
      </c>
      <c r="R15" s="177">
        <v>16</v>
      </c>
      <c r="S15" s="177">
        <v>12</v>
      </c>
      <c r="T15" s="177">
        <v>11</v>
      </c>
      <c r="U15" s="177">
        <v>13</v>
      </c>
      <c r="V15" s="177">
        <v>17</v>
      </c>
    </row>
    <row r="16" spans="1:35" x14ac:dyDescent="0.2">
      <c r="A16" s="158">
        <v>8</v>
      </c>
      <c r="B16" s="171" t="s">
        <v>464</v>
      </c>
      <c r="C16" s="174">
        <v>110</v>
      </c>
      <c r="D16" s="176">
        <v>35</v>
      </c>
      <c r="E16" s="176">
        <v>80</v>
      </c>
      <c r="F16" s="176">
        <v>35</v>
      </c>
      <c r="G16" s="177">
        <v>13</v>
      </c>
      <c r="H16" s="177">
        <v>18</v>
      </c>
      <c r="I16" s="177">
        <v>14</v>
      </c>
      <c r="J16" s="177">
        <v>17</v>
      </c>
      <c r="K16" s="177">
        <v>10</v>
      </c>
      <c r="L16" s="177">
        <v>10</v>
      </c>
      <c r="M16" s="177">
        <v>18</v>
      </c>
      <c r="N16" s="177">
        <v>14</v>
      </c>
      <c r="O16" s="177">
        <v>6</v>
      </c>
      <c r="P16" s="177">
        <v>11</v>
      </c>
      <c r="Q16" s="177">
        <v>12</v>
      </c>
      <c r="R16" s="177">
        <v>16</v>
      </c>
      <c r="S16" s="177">
        <v>17</v>
      </c>
      <c r="T16" s="177">
        <v>25</v>
      </c>
      <c r="U16" s="177">
        <v>0</v>
      </c>
      <c r="V16" s="177">
        <v>7</v>
      </c>
    </row>
    <row r="17" spans="1:22" x14ac:dyDescent="0.2">
      <c r="A17" s="158">
        <v>9</v>
      </c>
      <c r="B17" s="171" t="s">
        <v>465</v>
      </c>
      <c r="C17" s="174">
        <v>115</v>
      </c>
      <c r="D17" s="176">
        <v>35</v>
      </c>
      <c r="E17" s="176">
        <v>80</v>
      </c>
      <c r="F17" s="176">
        <v>35</v>
      </c>
      <c r="G17" s="177">
        <v>12</v>
      </c>
      <c r="H17" s="177">
        <v>13</v>
      </c>
      <c r="I17" s="177">
        <v>16</v>
      </c>
      <c r="J17" s="177">
        <v>13</v>
      </c>
      <c r="K17" s="177">
        <v>15</v>
      </c>
      <c r="L17" s="177">
        <v>9</v>
      </c>
      <c r="M17" s="177">
        <v>13</v>
      </c>
      <c r="N17" s="177">
        <v>17</v>
      </c>
      <c r="O17" s="177">
        <v>18</v>
      </c>
      <c r="P17" s="177">
        <v>11</v>
      </c>
      <c r="Q17" s="177">
        <v>13</v>
      </c>
      <c r="R17" s="177">
        <v>19</v>
      </c>
      <c r="S17" s="177">
        <v>11</v>
      </c>
      <c r="T17" s="177">
        <v>13</v>
      </c>
      <c r="U17" s="177">
        <v>2</v>
      </c>
      <c r="V17" s="177">
        <v>11</v>
      </c>
    </row>
    <row r="18" spans="1:22" x14ac:dyDescent="0.2">
      <c r="A18" s="158">
        <v>10</v>
      </c>
      <c r="B18" s="171" t="s">
        <v>466</v>
      </c>
      <c r="C18" s="174">
        <v>115</v>
      </c>
      <c r="D18" s="176">
        <v>35</v>
      </c>
      <c r="E18" s="176">
        <v>80</v>
      </c>
      <c r="F18" s="176">
        <v>35</v>
      </c>
      <c r="G18" s="177">
        <v>11</v>
      </c>
      <c r="H18" s="177">
        <v>11</v>
      </c>
      <c r="I18" s="177">
        <v>13</v>
      </c>
      <c r="J18" s="177">
        <v>14</v>
      </c>
      <c r="K18" s="177">
        <v>13</v>
      </c>
      <c r="L18" s="177">
        <v>6</v>
      </c>
      <c r="M18" s="177">
        <v>13</v>
      </c>
      <c r="N18" s="177">
        <v>23</v>
      </c>
      <c r="O18" s="177">
        <v>8</v>
      </c>
      <c r="P18" s="177">
        <v>14</v>
      </c>
      <c r="Q18" s="177">
        <v>17</v>
      </c>
      <c r="R18" s="177">
        <v>24</v>
      </c>
      <c r="S18" s="177">
        <v>5</v>
      </c>
      <c r="T18" s="177">
        <v>14</v>
      </c>
      <c r="U18" s="177">
        <v>9</v>
      </c>
      <c r="V18" s="177">
        <v>10</v>
      </c>
    </row>
    <row r="19" spans="1:22" x14ac:dyDescent="0.2">
      <c r="A19" s="158">
        <v>11</v>
      </c>
      <c r="B19" s="171" t="s">
        <v>467</v>
      </c>
      <c r="C19" s="174">
        <v>115</v>
      </c>
      <c r="D19" s="176">
        <v>35</v>
      </c>
      <c r="E19" s="176">
        <v>80</v>
      </c>
      <c r="F19" s="176">
        <v>65</v>
      </c>
      <c r="G19" s="177">
        <v>14</v>
      </c>
      <c r="H19" s="177">
        <v>19</v>
      </c>
      <c r="I19" s="177">
        <v>11</v>
      </c>
      <c r="J19" s="177">
        <v>15</v>
      </c>
      <c r="K19" s="177">
        <v>11</v>
      </c>
      <c r="L19" s="177">
        <v>16</v>
      </c>
      <c r="M19" s="177">
        <v>7</v>
      </c>
      <c r="N19" s="177">
        <v>14</v>
      </c>
      <c r="O19" s="177">
        <v>3</v>
      </c>
      <c r="P19" s="177">
        <v>22</v>
      </c>
      <c r="Q19" s="177">
        <v>12</v>
      </c>
      <c r="R19" s="177">
        <v>8</v>
      </c>
      <c r="S19" s="177">
        <v>17</v>
      </c>
      <c r="T19" s="177">
        <v>19</v>
      </c>
      <c r="U19" s="177">
        <v>8</v>
      </c>
      <c r="V19" s="177">
        <v>15</v>
      </c>
    </row>
    <row r="20" spans="1:22" x14ac:dyDescent="0.2">
      <c r="A20" s="158">
        <v>12</v>
      </c>
      <c r="B20" s="171" t="s">
        <v>468</v>
      </c>
      <c r="C20" s="174">
        <v>115</v>
      </c>
      <c r="D20" s="176">
        <v>35</v>
      </c>
      <c r="E20" s="176">
        <v>80</v>
      </c>
      <c r="F20" s="176">
        <v>65</v>
      </c>
      <c r="G20" s="177">
        <v>6</v>
      </c>
      <c r="H20" s="177">
        <v>11</v>
      </c>
      <c r="I20" s="177">
        <v>15</v>
      </c>
      <c r="J20" s="177">
        <v>13</v>
      </c>
      <c r="K20" s="177">
        <v>12</v>
      </c>
      <c r="L20" s="177">
        <v>17</v>
      </c>
      <c r="M20" s="177">
        <v>9</v>
      </c>
      <c r="N20" s="177">
        <v>16</v>
      </c>
      <c r="O20" s="177">
        <v>13</v>
      </c>
      <c r="P20" s="177">
        <v>8</v>
      </c>
      <c r="Q20" s="177">
        <v>16</v>
      </c>
      <c r="R20" s="177">
        <v>12</v>
      </c>
      <c r="S20" s="177">
        <v>13</v>
      </c>
      <c r="T20" s="177">
        <v>11</v>
      </c>
      <c r="U20" s="177">
        <v>13</v>
      </c>
      <c r="V20" s="177">
        <v>16</v>
      </c>
    </row>
    <row r="21" spans="1:22" x14ac:dyDescent="0.2">
      <c r="A21" s="158">
        <v>13</v>
      </c>
      <c r="B21" s="171" t="s">
        <v>469</v>
      </c>
      <c r="C21" s="174">
        <v>80</v>
      </c>
      <c r="D21" s="176">
        <v>35</v>
      </c>
      <c r="E21" s="176">
        <v>80</v>
      </c>
      <c r="F21" s="176">
        <v>65</v>
      </c>
      <c r="G21" s="177">
        <v>8</v>
      </c>
      <c r="H21" s="177">
        <v>13</v>
      </c>
      <c r="I21" s="177">
        <v>7</v>
      </c>
      <c r="J21" s="177">
        <v>11</v>
      </c>
      <c r="K21" s="177">
        <v>13</v>
      </c>
      <c r="L21" s="177">
        <v>8</v>
      </c>
      <c r="M21" s="177">
        <v>15</v>
      </c>
      <c r="N21" s="177">
        <v>10</v>
      </c>
      <c r="O21" s="177">
        <v>12</v>
      </c>
      <c r="P21" s="177">
        <v>19</v>
      </c>
      <c r="Q21" s="177">
        <v>15</v>
      </c>
      <c r="R21" s="177">
        <v>19</v>
      </c>
      <c r="S21" s="177">
        <v>13</v>
      </c>
      <c r="T21" s="177">
        <v>17</v>
      </c>
      <c r="U21" s="177">
        <v>7</v>
      </c>
      <c r="V21" s="177">
        <v>13</v>
      </c>
    </row>
    <row r="22" spans="1:22" x14ac:dyDescent="0.2">
      <c r="A22" s="158">
        <v>14</v>
      </c>
      <c r="B22" s="171" t="s">
        <v>470</v>
      </c>
      <c r="C22" s="174">
        <v>115</v>
      </c>
      <c r="D22" s="176">
        <v>35</v>
      </c>
      <c r="E22" s="176">
        <v>35</v>
      </c>
      <c r="F22" s="176">
        <v>35</v>
      </c>
      <c r="G22" s="177">
        <v>11</v>
      </c>
      <c r="H22" s="177">
        <v>12</v>
      </c>
      <c r="I22" s="177">
        <v>13</v>
      </c>
      <c r="J22" s="177">
        <v>12</v>
      </c>
      <c r="K22" s="177">
        <v>10</v>
      </c>
      <c r="L22" s="177">
        <v>10</v>
      </c>
      <c r="M22" s="177">
        <v>13</v>
      </c>
      <c r="N22" s="177">
        <v>17</v>
      </c>
      <c r="O22" s="177">
        <v>15</v>
      </c>
      <c r="P22" s="177">
        <v>16</v>
      </c>
      <c r="Q22" s="177">
        <v>18</v>
      </c>
      <c r="R22" s="177">
        <v>6</v>
      </c>
      <c r="S22" s="177">
        <v>16</v>
      </c>
      <c r="T22" s="177">
        <v>13</v>
      </c>
      <c r="U22" s="177">
        <v>6</v>
      </c>
      <c r="V22" s="177">
        <v>18</v>
      </c>
    </row>
    <row r="23" spans="1:22" x14ac:dyDescent="0.2">
      <c r="A23" s="158">
        <v>15</v>
      </c>
      <c r="B23" s="171" t="s">
        <v>471</v>
      </c>
      <c r="C23" s="174">
        <v>110</v>
      </c>
      <c r="D23" s="176">
        <v>35</v>
      </c>
      <c r="E23" s="176">
        <v>80</v>
      </c>
      <c r="F23" s="176">
        <v>35</v>
      </c>
      <c r="G23" s="177">
        <v>12</v>
      </c>
      <c r="H23" s="177">
        <v>13</v>
      </c>
      <c r="I23" s="177">
        <v>9</v>
      </c>
      <c r="J23" s="177">
        <v>16</v>
      </c>
      <c r="K23" s="177">
        <v>13</v>
      </c>
      <c r="L23" s="177">
        <v>4</v>
      </c>
      <c r="M23" s="177">
        <v>18</v>
      </c>
      <c r="N23" s="177">
        <v>9</v>
      </c>
      <c r="O23" s="177">
        <v>12</v>
      </c>
      <c r="P23" s="177">
        <v>8</v>
      </c>
      <c r="Q23" s="177">
        <v>15</v>
      </c>
      <c r="R23" s="177">
        <v>16</v>
      </c>
      <c r="S23" s="177">
        <v>15</v>
      </c>
      <c r="T23" s="177">
        <v>24</v>
      </c>
      <c r="U23" s="177">
        <v>7</v>
      </c>
      <c r="V23" s="177">
        <v>14</v>
      </c>
    </row>
    <row r="24" spans="1:22" x14ac:dyDescent="0.2">
      <c r="A24" s="158">
        <v>16</v>
      </c>
      <c r="B24" s="171" t="s">
        <v>472</v>
      </c>
      <c r="C24" s="174">
        <v>115</v>
      </c>
      <c r="D24" s="176">
        <v>35</v>
      </c>
      <c r="E24" s="176">
        <v>80</v>
      </c>
      <c r="F24" s="176">
        <v>35</v>
      </c>
      <c r="G24" s="177">
        <v>13</v>
      </c>
      <c r="H24" s="177">
        <v>11</v>
      </c>
      <c r="I24" s="177">
        <v>10</v>
      </c>
      <c r="J24" s="177">
        <v>17</v>
      </c>
      <c r="K24" s="177">
        <v>11</v>
      </c>
      <c r="L24" s="177">
        <v>5</v>
      </c>
      <c r="M24" s="177">
        <v>18</v>
      </c>
      <c r="N24" s="177">
        <v>17</v>
      </c>
      <c r="O24" s="177">
        <v>15</v>
      </c>
      <c r="P24" s="177">
        <v>17</v>
      </c>
      <c r="Q24" s="177">
        <v>14</v>
      </c>
      <c r="R24" s="177">
        <v>20</v>
      </c>
      <c r="S24" s="177">
        <v>16</v>
      </c>
      <c r="T24" s="177">
        <v>12</v>
      </c>
      <c r="U24" s="177">
        <v>1</v>
      </c>
      <c r="V24" s="177">
        <v>11</v>
      </c>
    </row>
    <row r="25" spans="1:22" x14ac:dyDescent="0.2">
      <c r="A25" s="159">
        <v>17</v>
      </c>
      <c r="B25" s="173" t="s">
        <v>473</v>
      </c>
      <c r="C25" s="174">
        <v>90</v>
      </c>
      <c r="D25" s="176">
        <v>35</v>
      </c>
      <c r="E25" s="176">
        <v>80</v>
      </c>
      <c r="F25" s="176">
        <v>65</v>
      </c>
      <c r="G25" s="177">
        <v>11</v>
      </c>
      <c r="H25" s="177">
        <v>16</v>
      </c>
      <c r="I25" s="177">
        <v>14</v>
      </c>
      <c r="J25" s="177">
        <v>4</v>
      </c>
      <c r="K25" s="177">
        <v>11</v>
      </c>
      <c r="L25" s="177">
        <v>10</v>
      </c>
      <c r="M25" s="177">
        <v>12</v>
      </c>
      <c r="N25" s="177">
        <v>21</v>
      </c>
      <c r="O25" s="177">
        <v>9</v>
      </c>
      <c r="P25" s="177">
        <v>15</v>
      </c>
      <c r="Q25" s="177">
        <v>16</v>
      </c>
      <c r="R25" s="177">
        <v>19</v>
      </c>
      <c r="S25" s="177">
        <v>9</v>
      </c>
      <c r="T25" s="177">
        <v>11</v>
      </c>
      <c r="U25" s="177">
        <v>10</v>
      </c>
      <c r="V25" s="177">
        <v>17</v>
      </c>
    </row>
    <row r="26" spans="1:22" x14ac:dyDescent="0.2">
      <c r="A26" s="158">
        <v>18</v>
      </c>
      <c r="B26" s="171" t="s">
        <v>474</v>
      </c>
      <c r="C26" s="174">
        <v>80</v>
      </c>
      <c r="D26" s="176">
        <v>35</v>
      </c>
      <c r="E26" s="176">
        <v>80</v>
      </c>
      <c r="F26" s="176">
        <v>35</v>
      </c>
      <c r="G26" s="177">
        <v>6</v>
      </c>
      <c r="H26" s="177">
        <v>13</v>
      </c>
      <c r="I26" s="177">
        <v>12</v>
      </c>
      <c r="J26" s="177">
        <v>11</v>
      </c>
      <c r="K26" s="177">
        <v>6</v>
      </c>
      <c r="L26" s="177">
        <v>15</v>
      </c>
      <c r="M26" s="177">
        <v>15</v>
      </c>
      <c r="N26" s="177">
        <v>13</v>
      </c>
      <c r="O26" s="177">
        <v>10</v>
      </c>
      <c r="P26" s="177">
        <v>13</v>
      </c>
      <c r="Q26" s="177">
        <v>21</v>
      </c>
      <c r="R26" s="177">
        <v>9</v>
      </c>
      <c r="S26" s="177">
        <v>16</v>
      </c>
      <c r="T26" s="177">
        <v>13</v>
      </c>
      <c r="U26" s="177">
        <v>12</v>
      </c>
      <c r="V26" s="177">
        <v>17</v>
      </c>
    </row>
    <row r="27" spans="1:22" x14ac:dyDescent="0.2">
      <c r="A27" s="158">
        <v>19</v>
      </c>
      <c r="B27" s="171" t="s">
        <v>475</v>
      </c>
      <c r="C27" s="174">
        <v>119</v>
      </c>
      <c r="D27" s="176">
        <v>35</v>
      </c>
      <c r="E27" s="176">
        <v>80</v>
      </c>
      <c r="F27" s="176">
        <v>35</v>
      </c>
      <c r="G27" s="177">
        <v>8</v>
      </c>
      <c r="H27" s="177">
        <v>11</v>
      </c>
      <c r="I27" s="177">
        <v>10</v>
      </c>
      <c r="J27" s="177">
        <v>12</v>
      </c>
      <c r="K27" s="177">
        <v>13</v>
      </c>
      <c r="L27" s="177">
        <v>12</v>
      </c>
      <c r="M27" s="177">
        <v>12</v>
      </c>
      <c r="N27" s="177">
        <v>14</v>
      </c>
      <c r="O27" s="177">
        <v>15</v>
      </c>
      <c r="P27" s="177">
        <v>13</v>
      </c>
      <c r="Q27" s="177">
        <v>16</v>
      </c>
      <c r="R27" s="177">
        <v>13</v>
      </c>
      <c r="S27" s="177">
        <v>14</v>
      </c>
      <c r="T27" s="177">
        <v>14</v>
      </c>
      <c r="U27" s="177">
        <v>15</v>
      </c>
      <c r="V27" s="177">
        <v>8</v>
      </c>
    </row>
    <row r="28" spans="1:22" x14ac:dyDescent="0.2">
      <c r="A28" s="158">
        <v>20</v>
      </c>
      <c r="B28" s="171" t="s">
        <v>476</v>
      </c>
      <c r="C28" s="174">
        <v>109</v>
      </c>
      <c r="D28" s="176">
        <v>35</v>
      </c>
      <c r="E28" s="176">
        <v>80</v>
      </c>
      <c r="F28" s="176">
        <v>35</v>
      </c>
      <c r="G28" s="177">
        <v>11</v>
      </c>
      <c r="H28" s="177">
        <v>12</v>
      </c>
      <c r="I28" s="177">
        <v>12</v>
      </c>
      <c r="J28" s="177">
        <v>6</v>
      </c>
      <c r="K28" s="177">
        <v>13</v>
      </c>
      <c r="L28" s="177">
        <v>6</v>
      </c>
      <c r="M28" s="177">
        <v>16</v>
      </c>
      <c r="N28" s="177">
        <v>15</v>
      </c>
      <c r="O28" s="177">
        <v>20</v>
      </c>
      <c r="P28" s="177">
        <v>15</v>
      </c>
      <c r="Q28" s="177">
        <v>20</v>
      </c>
      <c r="R28" s="177">
        <v>11</v>
      </c>
      <c r="S28" s="177">
        <v>12</v>
      </c>
      <c r="T28" s="177">
        <v>11</v>
      </c>
      <c r="U28" s="177">
        <v>8</v>
      </c>
      <c r="V28" s="177">
        <v>17</v>
      </c>
    </row>
    <row r="29" spans="1:22" x14ac:dyDescent="0.2">
      <c r="A29" s="158">
        <v>21</v>
      </c>
      <c r="B29" s="171" t="s">
        <v>477</v>
      </c>
      <c r="C29" s="174">
        <v>109</v>
      </c>
      <c r="D29" s="176">
        <v>35</v>
      </c>
      <c r="E29" s="176">
        <v>80</v>
      </c>
      <c r="F29" s="176">
        <v>65</v>
      </c>
      <c r="G29" s="177">
        <v>12</v>
      </c>
      <c r="H29" s="177">
        <v>14</v>
      </c>
      <c r="I29" s="177">
        <v>14</v>
      </c>
      <c r="J29" s="177">
        <v>11</v>
      </c>
      <c r="K29" s="177">
        <v>16</v>
      </c>
      <c r="L29" s="177">
        <v>8</v>
      </c>
      <c r="M29" s="177">
        <v>19</v>
      </c>
      <c r="N29" s="177">
        <v>12</v>
      </c>
      <c r="O29" s="177">
        <v>6</v>
      </c>
      <c r="P29" s="177">
        <v>10</v>
      </c>
      <c r="Q29" s="177">
        <v>18</v>
      </c>
      <c r="R29" s="177">
        <v>13</v>
      </c>
      <c r="S29" s="177">
        <v>21</v>
      </c>
      <c r="T29" s="177">
        <v>15</v>
      </c>
      <c r="U29" s="177">
        <v>7</v>
      </c>
      <c r="V29" s="177">
        <v>9</v>
      </c>
    </row>
    <row r="30" spans="1:22" x14ac:dyDescent="0.2">
      <c r="A30" s="158">
        <v>22</v>
      </c>
      <c r="B30" s="171" t="s">
        <v>478</v>
      </c>
      <c r="C30" s="174">
        <v>115</v>
      </c>
      <c r="D30" s="176">
        <v>35</v>
      </c>
      <c r="E30" s="176">
        <v>80</v>
      </c>
      <c r="F30" s="176">
        <v>35</v>
      </c>
      <c r="G30" s="177">
        <v>12</v>
      </c>
      <c r="H30" s="177">
        <v>15</v>
      </c>
      <c r="I30" s="177">
        <v>8</v>
      </c>
      <c r="J30" s="177">
        <v>14</v>
      </c>
      <c r="K30" s="177">
        <v>10</v>
      </c>
      <c r="L30" s="177">
        <v>10</v>
      </c>
      <c r="M30" s="177">
        <v>11</v>
      </c>
      <c r="N30" s="177">
        <v>14</v>
      </c>
      <c r="O30" s="177">
        <v>16</v>
      </c>
      <c r="P30" s="177">
        <v>15</v>
      </c>
      <c r="Q30" s="177">
        <v>18</v>
      </c>
      <c r="R30" s="177">
        <v>13</v>
      </c>
      <c r="S30" s="177">
        <v>8</v>
      </c>
      <c r="T30" s="177">
        <v>17</v>
      </c>
      <c r="U30" s="177">
        <v>13</v>
      </c>
      <c r="V30" s="177">
        <v>12</v>
      </c>
    </row>
    <row r="31" spans="1:22" x14ac:dyDescent="0.2">
      <c r="A31" s="158">
        <v>23</v>
      </c>
      <c r="B31" s="171" t="s">
        <v>479</v>
      </c>
      <c r="C31" s="174">
        <v>80</v>
      </c>
      <c r="D31" s="176">
        <v>35</v>
      </c>
      <c r="E31" s="176">
        <v>35</v>
      </c>
      <c r="F31" s="176">
        <v>35</v>
      </c>
      <c r="G31" s="177">
        <v>9</v>
      </c>
      <c r="H31" s="177">
        <v>9</v>
      </c>
      <c r="I31" s="177">
        <v>10</v>
      </c>
      <c r="J31" s="177">
        <v>10</v>
      </c>
      <c r="K31" s="177">
        <v>15</v>
      </c>
      <c r="L31" s="177">
        <v>13</v>
      </c>
      <c r="M31" s="177">
        <v>9</v>
      </c>
      <c r="N31" s="177">
        <v>13</v>
      </c>
      <c r="O31" s="177">
        <v>13</v>
      </c>
      <c r="P31" s="177">
        <v>15</v>
      </c>
      <c r="Q31" s="177">
        <v>16</v>
      </c>
      <c r="R31" s="177">
        <v>15</v>
      </c>
      <c r="S31" s="177">
        <v>11</v>
      </c>
      <c r="T31" s="177">
        <v>11</v>
      </c>
      <c r="U31" s="177">
        <v>13</v>
      </c>
      <c r="V31" s="177">
        <v>16</v>
      </c>
    </row>
    <row r="32" spans="1:22" x14ac:dyDescent="0.2">
      <c r="A32" s="158">
        <v>24</v>
      </c>
      <c r="B32" s="171" t="s">
        <v>480</v>
      </c>
      <c r="C32" s="174">
        <v>80</v>
      </c>
      <c r="D32" s="176">
        <v>35</v>
      </c>
      <c r="E32" s="176">
        <v>35</v>
      </c>
      <c r="F32" s="176">
        <v>35</v>
      </c>
      <c r="G32" s="177">
        <v>8</v>
      </c>
      <c r="H32" s="177">
        <v>13</v>
      </c>
      <c r="I32" s="177">
        <v>8</v>
      </c>
      <c r="J32" s="177">
        <v>13</v>
      </c>
      <c r="K32" s="177">
        <v>12</v>
      </c>
      <c r="L32" s="177">
        <v>13</v>
      </c>
      <c r="M32" s="177">
        <v>12</v>
      </c>
      <c r="N32" s="177">
        <v>13</v>
      </c>
      <c r="O32" s="177">
        <v>12</v>
      </c>
      <c r="P32" s="177">
        <v>17</v>
      </c>
      <c r="Q32" s="177">
        <v>12</v>
      </c>
      <c r="R32" s="177">
        <v>14</v>
      </c>
      <c r="S32" s="177">
        <v>11</v>
      </c>
      <c r="T32" s="177">
        <v>15</v>
      </c>
      <c r="U32" s="177">
        <v>10</v>
      </c>
      <c r="V32" s="177">
        <v>17</v>
      </c>
    </row>
    <row r="33" spans="1:22" x14ac:dyDescent="0.2">
      <c r="A33" s="158">
        <v>25</v>
      </c>
      <c r="B33" s="171" t="s">
        <v>481</v>
      </c>
      <c r="C33" s="174">
        <v>109</v>
      </c>
      <c r="D33" s="176">
        <v>35</v>
      </c>
      <c r="E33" s="176">
        <v>80</v>
      </c>
      <c r="F33" s="176">
        <v>35</v>
      </c>
      <c r="G33" s="177">
        <v>10</v>
      </c>
      <c r="H33" s="177">
        <v>12</v>
      </c>
      <c r="I33" s="177">
        <v>9</v>
      </c>
      <c r="J33" s="177">
        <v>9</v>
      </c>
      <c r="K33" s="177">
        <v>16</v>
      </c>
      <c r="L33" s="177">
        <v>10</v>
      </c>
      <c r="M33" s="177">
        <v>17</v>
      </c>
      <c r="N33" s="177">
        <v>9</v>
      </c>
      <c r="O33" s="177">
        <v>19</v>
      </c>
      <c r="P33" s="177">
        <v>12</v>
      </c>
      <c r="Q33" s="177">
        <v>16</v>
      </c>
      <c r="R33" s="177">
        <v>15</v>
      </c>
      <c r="S33" s="177">
        <v>14</v>
      </c>
      <c r="T33" s="177">
        <v>14</v>
      </c>
      <c r="U33" s="177">
        <v>10</v>
      </c>
      <c r="V33" s="177">
        <v>12</v>
      </c>
    </row>
    <row r="34" spans="1:22" x14ac:dyDescent="0.2">
      <c r="A34" s="158">
        <v>26</v>
      </c>
      <c r="B34" s="171" t="s">
        <v>482</v>
      </c>
      <c r="C34" s="174">
        <v>115</v>
      </c>
      <c r="D34" s="176">
        <v>35</v>
      </c>
      <c r="E34" s="176">
        <v>80</v>
      </c>
      <c r="F34" s="176">
        <v>35</v>
      </c>
      <c r="G34" s="177">
        <v>12</v>
      </c>
      <c r="H34" s="177">
        <v>14</v>
      </c>
      <c r="I34" s="177">
        <v>9</v>
      </c>
      <c r="J34" s="177">
        <v>5</v>
      </c>
      <c r="K34" s="177">
        <v>9</v>
      </c>
      <c r="L34" s="177">
        <v>15</v>
      </c>
      <c r="M34" s="177">
        <v>19</v>
      </c>
      <c r="N34" s="177">
        <v>15</v>
      </c>
      <c r="O34" s="177">
        <v>9</v>
      </c>
      <c r="P34" s="177">
        <v>16</v>
      </c>
      <c r="Q34" s="177">
        <v>13</v>
      </c>
      <c r="R34" s="177">
        <v>13</v>
      </c>
      <c r="S34" s="177">
        <v>15</v>
      </c>
      <c r="T34" s="177">
        <v>12</v>
      </c>
      <c r="U34" s="177">
        <v>11</v>
      </c>
      <c r="V34" s="177">
        <v>17</v>
      </c>
    </row>
    <row r="35" spans="1:22" x14ac:dyDescent="0.2">
      <c r="A35" s="158"/>
      <c r="B35" s="171"/>
      <c r="C35" s="174"/>
      <c r="D35" s="176"/>
      <c r="E35" s="176"/>
      <c r="F35" s="176"/>
      <c r="G35" s="177"/>
      <c r="H35" s="177"/>
      <c r="I35" s="177"/>
      <c r="J35" s="177"/>
      <c r="K35" s="177"/>
      <c r="L35" s="177"/>
      <c r="M35" s="177"/>
      <c r="N35" s="177"/>
      <c r="O35" s="177"/>
      <c r="P35" s="177"/>
      <c r="Q35" s="177"/>
      <c r="R35" s="177"/>
      <c r="S35" s="177"/>
      <c r="T35" s="177"/>
      <c r="U35" s="177"/>
      <c r="V35" s="177"/>
    </row>
    <row r="36" spans="1:22" x14ac:dyDescent="0.2">
      <c r="A36" s="158"/>
      <c r="B36" s="171"/>
      <c r="C36" s="174"/>
      <c r="D36" s="176"/>
      <c r="E36" s="176"/>
      <c r="F36" s="176"/>
      <c r="G36" s="177"/>
      <c r="H36" s="177"/>
      <c r="I36" s="177"/>
      <c r="J36" s="177"/>
      <c r="K36" s="177"/>
      <c r="L36" s="177"/>
      <c r="M36" s="177"/>
      <c r="N36" s="177"/>
      <c r="O36" s="177"/>
      <c r="P36" s="177"/>
      <c r="Q36" s="177"/>
      <c r="R36" s="177"/>
      <c r="S36" s="177"/>
      <c r="T36" s="177"/>
      <c r="U36" s="177"/>
      <c r="V36" s="177"/>
    </row>
    <row r="37" spans="1:22" x14ac:dyDescent="0.2">
      <c r="A37" s="158"/>
      <c r="B37" s="171"/>
      <c r="C37" s="174"/>
      <c r="D37" s="176"/>
      <c r="E37" s="176"/>
      <c r="F37" s="176"/>
      <c r="G37" s="177"/>
      <c r="H37" s="177"/>
      <c r="I37" s="177"/>
      <c r="J37" s="177"/>
      <c r="K37" s="177"/>
      <c r="L37" s="177"/>
      <c r="M37" s="177"/>
      <c r="N37" s="177"/>
      <c r="O37" s="177"/>
      <c r="P37" s="177"/>
      <c r="Q37" s="177"/>
      <c r="R37" s="177"/>
      <c r="S37" s="177"/>
      <c r="T37" s="177"/>
      <c r="U37" s="177"/>
      <c r="V37" s="177"/>
    </row>
    <row r="38" spans="1:22" x14ac:dyDescent="0.2">
      <c r="A38" s="158"/>
      <c r="B38" s="171"/>
      <c r="C38" s="174"/>
      <c r="D38" s="176"/>
      <c r="E38" s="176"/>
      <c r="F38" s="176"/>
      <c r="G38" s="177"/>
      <c r="H38" s="177"/>
      <c r="I38" s="177"/>
      <c r="J38" s="177"/>
      <c r="K38" s="177"/>
      <c r="L38" s="177"/>
      <c r="M38" s="177"/>
      <c r="N38" s="177"/>
      <c r="O38" s="177"/>
      <c r="P38" s="177"/>
      <c r="Q38" s="177"/>
      <c r="R38" s="177"/>
      <c r="S38" s="177"/>
      <c r="T38" s="177"/>
      <c r="U38" s="177"/>
      <c r="V38" s="177"/>
    </row>
    <row r="39" spans="1:22" x14ac:dyDescent="0.2">
      <c r="A39" s="158"/>
      <c r="B39" s="171"/>
      <c r="C39" s="174"/>
      <c r="D39" s="176"/>
      <c r="E39" s="176"/>
      <c r="F39" s="176"/>
      <c r="G39" s="177"/>
      <c r="H39" s="177"/>
      <c r="I39" s="177"/>
      <c r="J39" s="177"/>
      <c r="K39" s="177"/>
      <c r="L39" s="177"/>
      <c r="M39" s="177"/>
      <c r="N39" s="177"/>
      <c r="O39" s="177"/>
      <c r="P39" s="177"/>
      <c r="Q39" s="177"/>
      <c r="R39" s="177"/>
      <c r="S39" s="177"/>
      <c r="T39" s="177"/>
      <c r="U39" s="177"/>
      <c r="V39" s="177"/>
    </row>
  </sheetData>
  <mergeCells count="9">
    <mergeCell ref="A3:V3"/>
    <mergeCell ref="A4:V4"/>
    <mergeCell ref="A5:V5"/>
    <mergeCell ref="A6:V6"/>
    <mergeCell ref="A7:A8"/>
    <mergeCell ref="B7:B8"/>
    <mergeCell ref="C7:C8"/>
    <mergeCell ref="D7:F7"/>
    <mergeCell ref="G7:V7"/>
  </mergeCells>
  <pageMargins left="0.45" right="0.2" top="0.5" bottom="0.5" header="0.3" footer="0.3"/>
  <pageSetup paperSize="9" scale="85"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F36BC-8D0A-4FEB-A3D3-DECF1D917F53}">
  <dimension ref="A3:AI39"/>
  <sheetViews>
    <sheetView view="pageBreakPreview" zoomScaleNormal="100" zoomScaleSheetLayoutView="100" workbookViewId="0">
      <selection activeCell="D9" sqref="D9:F37"/>
    </sheetView>
  </sheetViews>
  <sheetFormatPr defaultColWidth="11.43359375" defaultRowHeight="15" x14ac:dyDescent="0.2"/>
  <cols>
    <col min="1" max="1" width="5.24609375" customWidth="1"/>
    <col min="2" max="2" width="48.42578125" bestFit="1" customWidth="1"/>
    <col min="3" max="3" width="7.80078125" customWidth="1"/>
    <col min="4" max="22" width="5.91796875" customWidth="1"/>
  </cols>
  <sheetData>
    <row r="3" spans="1:35" ht="21.75" x14ac:dyDescent="0.3">
      <c r="A3" s="181" t="s">
        <v>420</v>
      </c>
      <c r="B3" s="181"/>
      <c r="C3" s="181"/>
      <c r="D3" s="181"/>
      <c r="E3" s="181"/>
      <c r="F3" s="181"/>
      <c r="G3" s="181"/>
      <c r="H3" s="181"/>
      <c r="I3" s="181"/>
      <c r="J3" s="181"/>
      <c r="K3" s="181"/>
      <c r="L3" s="181"/>
      <c r="M3" s="181"/>
      <c r="N3" s="181"/>
      <c r="O3" s="181"/>
      <c r="P3" s="181"/>
      <c r="Q3" s="181"/>
      <c r="R3" s="181"/>
      <c r="S3" s="181"/>
      <c r="T3" s="181"/>
      <c r="U3" s="181"/>
      <c r="V3" s="181"/>
      <c r="W3" s="160"/>
      <c r="X3" s="160"/>
      <c r="Y3" s="160"/>
      <c r="Z3" s="160"/>
      <c r="AA3" s="160"/>
      <c r="AB3" s="160"/>
      <c r="AC3" s="160"/>
      <c r="AD3" s="160"/>
      <c r="AE3" s="160"/>
      <c r="AF3" s="160"/>
      <c r="AG3" s="160"/>
      <c r="AH3" s="160"/>
      <c r="AI3" s="160"/>
    </row>
    <row r="4" spans="1:35" ht="18.75" x14ac:dyDescent="0.25">
      <c r="A4" s="182" t="s">
        <v>421</v>
      </c>
      <c r="B4" s="182"/>
      <c r="C4" s="182"/>
      <c r="D4" s="182"/>
      <c r="E4" s="182"/>
      <c r="F4" s="182"/>
      <c r="G4" s="182"/>
      <c r="H4" s="182"/>
      <c r="I4" s="182"/>
      <c r="J4" s="182"/>
      <c r="K4" s="182"/>
      <c r="L4" s="182"/>
      <c r="M4" s="182"/>
      <c r="N4" s="182"/>
      <c r="O4" s="182"/>
      <c r="P4" s="182"/>
      <c r="Q4" s="182"/>
      <c r="R4" s="182"/>
      <c r="S4" s="182"/>
      <c r="T4" s="182"/>
      <c r="U4" s="182"/>
      <c r="V4" s="182"/>
      <c r="W4" s="161"/>
      <c r="X4" s="161"/>
      <c r="Y4" s="161"/>
      <c r="Z4" s="161"/>
      <c r="AA4" s="161"/>
      <c r="AB4" s="161"/>
      <c r="AC4" s="161"/>
      <c r="AD4" s="161"/>
      <c r="AE4" s="161"/>
      <c r="AF4" s="161"/>
      <c r="AG4" s="161"/>
      <c r="AH4" s="161"/>
      <c r="AI4" s="161"/>
    </row>
    <row r="5" spans="1:35" ht="18.75" x14ac:dyDescent="0.25">
      <c r="A5" s="182" t="s">
        <v>542</v>
      </c>
      <c r="B5" s="182"/>
      <c r="C5" s="182"/>
      <c r="D5" s="182"/>
      <c r="E5" s="182"/>
      <c r="F5" s="182"/>
      <c r="G5" s="182"/>
      <c r="H5" s="182"/>
      <c r="I5" s="182"/>
      <c r="J5" s="182"/>
      <c r="K5" s="182"/>
      <c r="L5" s="182"/>
      <c r="M5" s="182"/>
      <c r="N5" s="182"/>
      <c r="O5" s="182"/>
      <c r="P5" s="182"/>
      <c r="Q5" s="182"/>
      <c r="R5" s="182"/>
      <c r="S5" s="182"/>
      <c r="T5" s="182"/>
      <c r="U5" s="182"/>
      <c r="V5" s="182"/>
      <c r="W5" s="161"/>
      <c r="X5" s="161"/>
      <c r="Y5" s="161"/>
      <c r="Z5" s="161"/>
      <c r="AA5" s="161"/>
      <c r="AB5" s="161"/>
      <c r="AC5" s="161"/>
      <c r="AD5" s="161"/>
      <c r="AE5" s="161"/>
      <c r="AF5" s="161"/>
      <c r="AG5" s="161"/>
      <c r="AH5" s="161"/>
      <c r="AI5" s="161"/>
    </row>
    <row r="6" spans="1:35" x14ac:dyDescent="0.2">
      <c r="A6" s="186"/>
      <c r="B6" s="186"/>
      <c r="C6" s="186"/>
      <c r="D6" s="186"/>
      <c r="E6" s="186"/>
      <c r="F6" s="186"/>
      <c r="G6" s="186"/>
      <c r="H6" s="186"/>
      <c r="I6" s="186"/>
      <c r="J6" s="186"/>
      <c r="K6" s="186"/>
      <c r="L6" s="186"/>
      <c r="M6" s="186"/>
      <c r="N6" s="186"/>
      <c r="O6" s="186"/>
      <c r="P6" s="186"/>
      <c r="Q6" s="186"/>
      <c r="R6" s="186"/>
      <c r="S6" s="186"/>
      <c r="T6" s="186"/>
      <c r="U6" s="186"/>
      <c r="V6" s="186"/>
    </row>
    <row r="7" spans="1:35" x14ac:dyDescent="0.2">
      <c r="A7" s="187" t="s">
        <v>0</v>
      </c>
      <c r="B7" s="187" t="s">
        <v>379</v>
      </c>
      <c r="C7" s="187" t="s">
        <v>2</v>
      </c>
      <c r="D7" s="187" t="s">
        <v>417</v>
      </c>
      <c r="E7" s="187"/>
      <c r="F7" s="187"/>
      <c r="G7" s="183" t="s">
        <v>418</v>
      </c>
      <c r="H7" s="184"/>
      <c r="I7" s="184"/>
      <c r="J7" s="184"/>
      <c r="K7" s="184"/>
      <c r="L7" s="184"/>
      <c r="M7" s="184"/>
      <c r="N7" s="184"/>
      <c r="O7" s="184"/>
      <c r="P7" s="184"/>
      <c r="Q7" s="184"/>
      <c r="R7" s="184"/>
      <c r="S7" s="184"/>
      <c r="T7" s="184"/>
      <c r="U7" s="184"/>
      <c r="V7" s="185"/>
    </row>
    <row r="8" spans="1:35" x14ac:dyDescent="0.2">
      <c r="A8" s="187"/>
      <c r="B8" s="187"/>
      <c r="C8" s="187"/>
      <c r="D8" s="162">
        <v>1</v>
      </c>
      <c r="E8" s="162">
        <v>2</v>
      </c>
      <c r="F8" s="162">
        <v>3</v>
      </c>
      <c r="G8" s="162">
        <v>1</v>
      </c>
      <c r="H8" s="162">
        <v>2</v>
      </c>
      <c r="I8" s="162">
        <v>3</v>
      </c>
      <c r="J8" s="162">
        <v>4</v>
      </c>
      <c r="K8" s="162">
        <v>5</v>
      </c>
      <c r="L8" s="162">
        <v>6</v>
      </c>
      <c r="M8" s="162">
        <v>7</v>
      </c>
      <c r="N8" s="162">
        <v>8</v>
      </c>
      <c r="O8" s="162">
        <v>9</v>
      </c>
      <c r="P8" s="162">
        <v>10</v>
      </c>
      <c r="Q8" s="162">
        <v>11</v>
      </c>
      <c r="R8" s="162">
        <v>12</v>
      </c>
      <c r="S8" s="162">
        <v>13</v>
      </c>
      <c r="T8" s="162">
        <v>14</v>
      </c>
      <c r="U8" s="162">
        <v>15</v>
      </c>
      <c r="V8" s="162">
        <v>16</v>
      </c>
    </row>
    <row r="9" spans="1:35" x14ac:dyDescent="0.2">
      <c r="A9" s="158">
        <v>1</v>
      </c>
      <c r="B9" s="171" t="s">
        <v>483</v>
      </c>
      <c r="C9" s="174">
        <v>80</v>
      </c>
      <c r="D9" s="176">
        <v>35</v>
      </c>
      <c r="E9" s="176">
        <v>35</v>
      </c>
      <c r="F9" s="176">
        <v>35</v>
      </c>
      <c r="G9" s="177">
        <v>10</v>
      </c>
      <c r="H9" s="177">
        <v>14</v>
      </c>
      <c r="I9" s="177">
        <v>11</v>
      </c>
      <c r="J9" s="177">
        <v>15</v>
      </c>
      <c r="K9" s="177">
        <v>13</v>
      </c>
      <c r="L9" s="177">
        <v>12</v>
      </c>
      <c r="M9" s="177">
        <v>10</v>
      </c>
      <c r="N9" s="177">
        <v>17</v>
      </c>
      <c r="O9" s="177">
        <v>9</v>
      </c>
      <c r="P9" s="177">
        <v>13</v>
      </c>
      <c r="Q9" s="177">
        <v>10</v>
      </c>
      <c r="R9" s="177">
        <v>11</v>
      </c>
      <c r="S9" s="177">
        <v>12</v>
      </c>
      <c r="T9" s="177">
        <v>12</v>
      </c>
      <c r="U9" s="177">
        <v>18</v>
      </c>
      <c r="V9" s="177">
        <v>18</v>
      </c>
    </row>
    <row r="10" spans="1:35" x14ac:dyDescent="0.2">
      <c r="A10" s="158">
        <v>2</v>
      </c>
      <c r="B10" s="171" t="s">
        <v>484</v>
      </c>
      <c r="C10" s="174">
        <v>80</v>
      </c>
      <c r="D10" s="176">
        <v>35</v>
      </c>
      <c r="E10" s="176">
        <v>80</v>
      </c>
      <c r="F10" s="176">
        <v>35</v>
      </c>
      <c r="G10" s="177">
        <v>9</v>
      </c>
      <c r="H10" s="177">
        <v>10</v>
      </c>
      <c r="I10" s="177">
        <v>13</v>
      </c>
      <c r="J10" s="177">
        <v>12</v>
      </c>
      <c r="K10" s="177">
        <v>15</v>
      </c>
      <c r="L10" s="177">
        <v>12</v>
      </c>
      <c r="M10" s="177">
        <v>14</v>
      </c>
      <c r="N10" s="177">
        <v>18</v>
      </c>
      <c r="O10" s="177">
        <v>14</v>
      </c>
      <c r="P10" s="177">
        <v>16</v>
      </c>
      <c r="Q10" s="177">
        <v>13</v>
      </c>
      <c r="R10" s="177">
        <v>11</v>
      </c>
      <c r="S10" s="177">
        <v>15</v>
      </c>
      <c r="T10" s="177">
        <v>8</v>
      </c>
      <c r="U10" s="177">
        <v>11</v>
      </c>
      <c r="V10" s="177">
        <v>15</v>
      </c>
    </row>
    <row r="11" spans="1:35" x14ac:dyDescent="0.2">
      <c r="A11" s="158">
        <v>3</v>
      </c>
      <c r="B11" s="172" t="s">
        <v>485</v>
      </c>
      <c r="C11" s="175"/>
      <c r="D11" s="175"/>
      <c r="E11" s="175"/>
      <c r="F11" s="175"/>
      <c r="G11" s="175"/>
      <c r="H11" s="175"/>
      <c r="I11" s="175"/>
      <c r="J11" s="175"/>
      <c r="K11" s="175"/>
      <c r="L11" s="175"/>
      <c r="M11" s="175"/>
      <c r="N11" s="175"/>
      <c r="O11" s="175"/>
      <c r="P11" s="175"/>
      <c r="Q11" s="175"/>
      <c r="R11" s="175"/>
      <c r="S11" s="175"/>
      <c r="T11" s="175"/>
      <c r="U11" s="175"/>
      <c r="V11" s="175"/>
    </row>
    <row r="12" spans="1:35" x14ac:dyDescent="0.2">
      <c r="A12" s="158">
        <v>4</v>
      </c>
      <c r="B12" s="171" t="s">
        <v>486</v>
      </c>
      <c r="C12" s="174">
        <v>115</v>
      </c>
      <c r="D12" s="176">
        <v>35</v>
      </c>
      <c r="E12" s="176">
        <v>35</v>
      </c>
      <c r="F12" s="176">
        <v>35</v>
      </c>
      <c r="G12" s="177">
        <v>11</v>
      </c>
      <c r="H12" s="177">
        <v>12</v>
      </c>
      <c r="I12" s="177">
        <v>13</v>
      </c>
      <c r="J12" s="177">
        <v>12</v>
      </c>
      <c r="K12" s="177">
        <v>10</v>
      </c>
      <c r="L12" s="177">
        <v>10</v>
      </c>
      <c r="M12" s="177">
        <v>13</v>
      </c>
      <c r="N12" s="177">
        <v>17</v>
      </c>
      <c r="O12" s="177">
        <v>15</v>
      </c>
      <c r="P12" s="177">
        <v>16</v>
      </c>
      <c r="Q12" s="177">
        <v>18</v>
      </c>
      <c r="R12" s="177">
        <v>6</v>
      </c>
      <c r="S12" s="177">
        <v>16</v>
      </c>
      <c r="T12" s="177">
        <v>13</v>
      </c>
      <c r="U12" s="177">
        <v>6</v>
      </c>
      <c r="V12" s="177">
        <v>18</v>
      </c>
    </row>
    <row r="13" spans="1:35" x14ac:dyDescent="0.2">
      <c r="A13" s="158">
        <v>5</v>
      </c>
      <c r="B13" s="171" t="s">
        <v>487</v>
      </c>
      <c r="C13" s="174">
        <v>109</v>
      </c>
      <c r="D13" s="176">
        <v>35</v>
      </c>
      <c r="E13" s="176">
        <v>35</v>
      </c>
      <c r="F13" s="176">
        <v>35</v>
      </c>
      <c r="G13" s="177">
        <v>12</v>
      </c>
      <c r="H13" s="177">
        <v>13</v>
      </c>
      <c r="I13" s="177">
        <v>9</v>
      </c>
      <c r="J13" s="177">
        <v>16</v>
      </c>
      <c r="K13" s="177">
        <v>13</v>
      </c>
      <c r="L13" s="177">
        <v>4</v>
      </c>
      <c r="M13" s="177">
        <v>18</v>
      </c>
      <c r="N13" s="177">
        <v>9</v>
      </c>
      <c r="O13" s="177">
        <v>12</v>
      </c>
      <c r="P13" s="177">
        <v>8</v>
      </c>
      <c r="Q13" s="177">
        <v>15</v>
      </c>
      <c r="R13" s="177">
        <v>16</v>
      </c>
      <c r="S13" s="177">
        <v>15</v>
      </c>
      <c r="T13" s="177">
        <v>24</v>
      </c>
      <c r="U13" s="177">
        <v>7</v>
      </c>
      <c r="V13" s="177">
        <v>14</v>
      </c>
    </row>
    <row r="14" spans="1:35" x14ac:dyDescent="0.2">
      <c r="A14" s="158">
        <v>6</v>
      </c>
      <c r="B14" s="171" t="s">
        <v>488</v>
      </c>
      <c r="C14" s="174">
        <v>89</v>
      </c>
      <c r="D14" s="176">
        <v>35</v>
      </c>
      <c r="E14" s="176">
        <v>35</v>
      </c>
      <c r="F14" s="176">
        <v>35</v>
      </c>
      <c r="G14" s="177">
        <v>13</v>
      </c>
      <c r="H14" s="177">
        <v>11</v>
      </c>
      <c r="I14" s="177">
        <v>10</v>
      </c>
      <c r="J14" s="177">
        <v>17</v>
      </c>
      <c r="K14" s="177">
        <v>11</v>
      </c>
      <c r="L14" s="177">
        <v>5</v>
      </c>
      <c r="M14" s="177">
        <v>18</v>
      </c>
      <c r="N14" s="177">
        <v>17</v>
      </c>
      <c r="O14" s="177">
        <v>15</v>
      </c>
      <c r="P14" s="177">
        <v>17</v>
      </c>
      <c r="Q14" s="177">
        <v>14</v>
      </c>
      <c r="R14" s="177">
        <v>20</v>
      </c>
      <c r="S14" s="177">
        <v>16</v>
      </c>
      <c r="T14" s="177">
        <v>12</v>
      </c>
      <c r="U14" s="177">
        <v>1</v>
      </c>
      <c r="V14" s="177">
        <v>11</v>
      </c>
    </row>
    <row r="15" spans="1:35" x14ac:dyDescent="0.2">
      <c r="A15" s="158">
        <v>7</v>
      </c>
      <c r="B15" s="171" t="s">
        <v>489</v>
      </c>
      <c r="C15" s="174">
        <v>109</v>
      </c>
      <c r="D15" s="176">
        <v>35</v>
      </c>
      <c r="E15" s="176">
        <v>80</v>
      </c>
      <c r="F15" s="176">
        <v>65</v>
      </c>
      <c r="G15" s="177">
        <v>11</v>
      </c>
      <c r="H15" s="177">
        <v>16</v>
      </c>
      <c r="I15" s="177">
        <v>14</v>
      </c>
      <c r="J15" s="177">
        <v>4</v>
      </c>
      <c r="K15" s="177">
        <v>11</v>
      </c>
      <c r="L15" s="177">
        <v>10</v>
      </c>
      <c r="M15" s="177">
        <v>12</v>
      </c>
      <c r="N15" s="177">
        <v>21</v>
      </c>
      <c r="O15" s="177">
        <v>9</v>
      </c>
      <c r="P15" s="177">
        <v>15</v>
      </c>
      <c r="Q15" s="177">
        <v>16</v>
      </c>
      <c r="R15" s="177">
        <v>19</v>
      </c>
      <c r="S15" s="177">
        <v>9</v>
      </c>
      <c r="T15" s="177">
        <v>11</v>
      </c>
      <c r="U15" s="177">
        <v>10</v>
      </c>
      <c r="V15" s="177">
        <v>17</v>
      </c>
    </row>
    <row r="16" spans="1:35" x14ac:dyDescent="0.2">
      <c r="A16" s="158">
        <v>8</v>
      </c>
      <c r="B16" s="171" t="s">
        <v>490</v>
      </c>
      <c r="C16" s="174">
        <v>80</v>
      </c>
      <c r="D16" s="176">
        <v>35</v>
      </c>
      <c r="E16" s="176">
        <v>80</v>
      </c>
      <c r="F16" s="176">
        <v>35</v>
      </c>
      <c r="G16" s="177">
        <v>6</v>
      </c>
      <c r="H16" s="177">
        <v>13</v>
      </c>
      <c r="I16" s="177">
        <v>12</v>
      </c>
      <c r="J16" s="177">
        <v>11</v>
      </c>
      <c r="K16" s="177">
        <v>6</v>
      </c>
      <c r="L16" s="177">
        <v>15</v>
      </c>
      <c r="M16" s="177">
        <v>15</v>
      </c>
      <c r="N16" s="177">
        <v>13</v>
      </c>
      <c r="O16" s="177">
        <v>10</v>
      </c>
      <c r="P16" s="177">
        <v>13</v>
      </c>
      <c r="Q16" s="177">
        <v>21</v>
      </c>
      <c r="R16" s="177">
        <v>9</v>
      </c>
      <c r="S16" s="177">
        <v>16</v>
      </c>
      <c r="T16" s="177">
        <v>13</v>
      </c>
      <c r="U16" s="177">
        <v>12</v>
      </c>
      <c r="V16" s="177">
        <v>17</v>
      </c>
    </row>
    <row r="17" spans="1:22" x14ac:dyDescent="0.2">
      <c r="A17" s="158">
        <v>9</v>
      </c>
      <c r="B17" s="171" t="s">
        <v>491</v>
      </c>
      <c r="C17" s="174">
        <v>109</v>
      </c>
      <c r="D17" s="176">
        <v>35</v>
      </c>
      <c r="E17" s="176">
        <v>80</v>
      </c>
      <c r="F17" s="176">
        <v>35</v>
      </c>
      <c r="G17" s="177">
        <v>8</v>
      </c>
      <c r="H17" s="177">
        <v>11</v>
      </c>
      <c r="I17" s="177">
        <v>10</v>
      </c>
      <c r="J17" s="177">
        <v>12</v>
      </c>
      <c r="K17" s="177">
        <v>13</v>
      </c>
      <c r="L17" s="177">
        <v>12</v>
      </c>
      <c r="M17" s="177">
        <v>12</v>
      </c>
      <c r="N17" s="177">
        <v>14</v>
      </c>
      <c r="O17" s="177">
        <v>15</v>
      </c>
      <c r="P17" s="177">
        <v>13</v>
      </c>
      <c r="Q17" s="177">
        <v>16</v>
      </c>
      <c r="R17" s="177">
        <v>13</v>
      </c>
      <c r="S17" s="177">
        <v>14</v>
      </c>
      <c r="T17" s="177">
        <v>14</v>
      </c>
      <c r="U17" s="177">
        <v>15</v>
      </c>
      <c r="V17" s="177">
        <v>8</v>
      </c>
    </row>
    <row r="18" spans="1:22" x14ac:dyDescent="0.2">
      <c r="A18" s="158">
        <v>10</v>
      </c>
      <c r="B18" s="171" t="s">
        <v>492</v>
      </c>
      <c r="C18" s="174">
        <v>115</v>
      </c>
      <c r="D18" s="176">
        <v>35</v>
      </c>
      <c r="E18" s="176">
        <v>80</v>
      </c>
      <c r="F18" s="176">
        <v>35</v>
      </c>
      <c r="G18" s="177">
        <v>11</v>
      </c>
      <c r="H18" s="177">
        <v>12</v>
      </c>
      <c r="I18" s="177">
        <v>12</v>
      </c>
      <c r="J18" s="177">
        <v>6</v>
      </c>
      <c r="K18" s="177">
        <v>13</v>
      </c>
      <c r="L18" s="177">
        <v>6</v>
      </c>
      <c r="M18" s="177">
        <v>16</v>
      </c>
      <c r="N18" s="177">
        <v>15</v>
      </c>
      <c r="O18" s="177">
        <v>20</v>
      </c>
      <c r="P18" s="177">
        <v>15</v>
      </c>
      <c r="Q18" s="177">
        <v>20</v>
      </c>
      <c r="R18" s="177">
        <v>11</v>
      </c>
      <c r="S18" s="177">
        <v>12</v>
      </c>
      <c r="T18" s="177">
        <v>11</v>
      </c>
      <c r="U18" s="177">
        <v>8</v>
      </c>
      <c r="V18" s="177">
        <v>17</v>
      </c>
    </row>
    <row r="19" spans="1:22" x14ac:dyDescent="0.2">
      <c r="A19" s="158">
        <v>11</v>
      </c>
      <c r="B19" s="171" t="s">
        <v>493</v>
      </c>
      <c r="C19" s="174">
        <v>115</v>
      </c>
      <c r="D19" s="176">
        <v>35</v>
      </c>
      <c r="E19" s="176">
        <v>80</v>
      </c>
      <c r="F19" s="176">
        <v>65</v>
      </c>
      <c r="G19" s="177">
        <v>12</v>
      </c>
      <c r="H19" s="177">
        <v>14</v>
      </c>
      <c r="I19" s="177">
        <v>14</v>
      </c>
      <c r="J19" s="177">
        <v>11</v>
      </c>
      <c r="K19" s="177">
        <v>16</v>
      </c>
      <c r="L19" s="177">
        <v>8</v>
      </c>
      <c r="M19" s="177">
        <v>19</v>
      </c>
      <c r="N19" s="177">
        <v>12</v>
      </c>
      <c r="O19" s="177">
        <v>6</v>
      </c>
      <c r="P19" s="177">
        <v>10</v>
      </c>
      <c r="Q19" s="177">
        <v>18</v>
      </c>
      <c r="R19" s="177">
        <v>13</v>
      </c>
      <c r="S19" s="177">
        <v>21</v>
      </c>
      <c r="T19" s="177">
        <v>15</v>
      </c>
      <c r="U19" s="177">
        <v>7</v>
      </c>
      <c r="V19" s="177">
        <v>9</v>
      </c>
    </row>
    <row r="20" spans="1:22" x14ac:dyDescent="0.2">
      <c r="A20" s="158">
        <v>12</v>
      </c>
      <c r="B20" s="171" t="s">
        <v>494</v>
      </c>
      <c r="C20" s="174">
        <v>115</v>
      </c>
      <c r="D20" s="176">
        <v>35</v>
      </c>
      <c r="E20" s="176">
        <v>80</v>
      </c>
      <c r="F20" s="176">
        <v>35</v>
      </c>
      <c r="G20" s="177">
        <v>12</v>
      </c>
      <c r="H20" s="177">
        <v>15</v>
      </c>
      <c r="I20" s="177">
        <v>8</v>
      </c>
      <c r="J20" s="177">
        <v>14</v>
      </c>
      <c r="K20" s="177">
        <v>10</v>
      </c>
      <c r="L20" s="177">
        <v>10</v>
      </c>
      <c r="M20" s="177">
        <v>11</v>
      </c>
      <c r="N20" s="177">
        <v>14</v>
      </c>
      <c r="O20" s="177">
        <v>16</v>
      </c>
      <c r="P20" s="177">
        <v>15</v>
      </c>
      <c r="Q20" s="177">
        <v>18</v>
      </c>
      <c r="R20" s="177">
        <v>13</v>
      </c>
      <c r="S20" s="177">
        <v>8</v>
      </c>
      <c r="T20" s="177">
        <v>17</v>
      </c>
      <c r="U20" s="177">
        <v>13</v>
      </c>
      <c r="V20" s="177">
        <v>12</v>
      </c>
    </row>
    <row r="21" spans="1:22" x14ac:dyDescent="0.2">
      <c r="A21" s="158">
        <v>13</v>
      </c>
      <c r="B21" s="171" t="s">
        <v>495</v>
      </c>
      <c r="C21" s="174">
        <v>85</v>
      </c>
      <c r="D21" s="176">
        <v>35</v>
      </c>
      <c r="E21" s="176">
        <v>80</v>
      </c>
      <c r="F21" s="176">
        <v>35</v>
      </c>
      <c r="G21" s="177">
        <v>9</v>
      </c>
      <c r="H21" s="177">
        <v>9</v>
      </c>
      <c r="I21" s="177">
        <v>10</v>
      </c>
      <c r="J21" s="177">
        <v>10</v>
      </c>
      <c r="K21" s="177">
        <v>15</v>
      </c>
      <c r="L21" s="177">
        <v>13</v>
      </c>
      <c r="M21" s="177">
        <v>9</v>
      </c>
      <c r="N21" s="177">
        <v>13</v>
      </c>
      <c r="O21" s="177">
        <v>13</v>
      </c>
      <c r="P21" s="177">
        <v>15</v>
      </c>
      <c r="Q21" s="177">
        <v>16</v>
      </c>
      <c r="R21" s="177">
        <v>15</v>
      </c>
      <c r="S21" s="177">
        <v>11</v>
      </c>
      <c r="T21" s="177">
        <v>11</v>
      </c>
      <c r="U21" s="177">
        <v>13</v>
      </c>
      <c r="V21" s="177">
        <v>16</v>
      </c>
    </row>
    <row r="22" spans="1:22" x14ac:dyDescent="0.2">
      <c r="A22" s="158">
        <v>14</v>
      </c>
      <c r="B22" s="173" t="s">
        <v>496</v>
      </c>
      <c r="C22" s="174">
        <v>90</v>
      </c>
      <c r="D22" s="176">
        <v>35</v>
      </c>
      <c r="E22" s="176">
        <v>80</v>
      </c>
      <c r="F22" s="176">
        <v>35</v>
      </c>
      <c r="G22" s="177">
        <v>8</v>
      </c>
      <c r="H22" s="177">
        <v>13</v>
      </c>
      <c r="I22" s="177">
        <v>8</v>
      </c>
      <c r="J22" s="177">
        <v>13</v>
      </c>
      <c r="K22" s="177">
        <v>12</v>
      </c>
      <c r="L22" s="177">
        <v>13</v>
      </c>
      <c r="M22" s="177">
        <v>12</v>
      </c>
      <c r="N22" s="177">
        <v>13</v>
      </c>
      <c r="O22" s="177">
        <v>12</v>
      </c>
      <c r="P22" s="177">
        <v>17</v>
      </c>
      <c r="Q22" s="177">
        <v>12</v>
      </c>
      <c r="R22" s="177">
        <v>14</v>
      </c>
      <c r="S22" s="177">
        <v>11</v>
      </c>
      <c r="T22" s="177">
        <v>15</v>
      </c>
      <c r="U22" s="177">
        <v>10</v>
      </c>
      <c r="V22" s="177">
        <v>17</v>
      </c>
    </row>
    <row r="23" spans="1:22" x14ac:dyDescent="0.2">
      <c r="A23" s="158">
        <v>15</v>
      </c>
      <c r="B23" s="172" t="s">
        <v>497</v>
      </c>
      <c r="C23" s="175"/>
      <c r="D23" s="175"/>
      <c r="E23" s="175"/>
      <c r="F23" s="175"/>
      <c r="G23" s="175"/>
      <c r="H23" s="175"/>
      <c r="I23" s="175"/>
      <c r="J23" s="175"/>
      <c r="K23" s="175"/>
      <c r="L23" s="175"/>
      <c r="M23" s="175"/>
      <c r="N23" s="175"/>
      <c r="O23" s="175"/>
      <c r="P23" s="175"/>
      <c r="Q23" s="175"/>
      <c r="R23" s="175"/>
      <c r="S23" s="175"/>
      <c r="T23" s="175"/>
      <c r="U23" s="175"/>
      <c r="V23" s="175"/>
    </row>
    <row r="24" spans="1:22" x14ac:dyDescent="0.2">
      <c r="A24" s="158">
        <v>16</v>
      </c>
      <c r="B24" s="171" t="s">
        <v>498</v>
      </c>
      <c r="C24" s="174">
        <v>115</v>
      </c>
      <c r="D24" s="176">
        <v>35</v>
      </c>
      <c r="E24" s="176">
        <v>80</v>
      </c>
      <c r="F24" s="176">
        <v>35</v>
      </c>
      <c r="G24" s="177">
        <v>13</v>
      </c>
      <c r="H24" s="177">
        <v>15</v>
      </c>
      <c r="I24" s="177">
        <v>9</v>
      </c>
      <c r="J24" s="177">
        <v>11</v>
      </c>
      <c r="K24" s="177">
        <v>10</v>
      </c>
      <c r="L24" s="177">
        <v>10</v>
      </c>
      <c r="M24" s="177">
        <v>17</v>
      </c>
      <c r="N24" s="177">
        <v>12</v>
      </c>
      <c r="O24" s="177">
        <v>15</v>
      </c>
      <c r="P24" s="177">
        <v>7</v>
      </c>
      <c r="Q24" s="177">
        <v>21</v>
      </c>
      <c r="R24" s="177">
        <v>15</v>
      </c>
      <c r="S24" s="177">
        <v>15</v>
      </c>
      <c r="T24" s="177">
        <v>12</v>
      </c>
      <c r="U24" s="177">
        <v>11</v>
      </c>
      <c r="V24" s="177">
        <v>15</v>
      </c>
    </row>
    <row r="25" spans="1:22" x14ac:dyDescent="0.2">
      <c r="A25" s="159">
        <v>17</v>
      </c>
      <c r="B25" s="173" t="s">
        <v>499</v>
      </c>
      <c r="C25" s="174">
        <v>115</v>
      </c>
      <c r="D25" s="176">
        <v>65</v>
      </c>
      <c r="E25" s="176">
        <v>80</v>
      </c>
      <c r="F25" s="176">
        <v>65</v>
      </c>
      <c r="G25" s="177">
        <v>12</v>
      </c>
      <c r="H25" s="177">
        <v>10</v>
      </c>
      <c r="I25" s="177">
        <v>9</v>
      </c>
      <c r="J25" s="177">
        <v>13</v>
      </c>
      <c r="K25" s="177">
        <v>9</v>
      </c>
      <c r="L25" s="177">
        <v>10</v>
      </c>
      <c r="M25" s="177">
        <v>14</v>
      </c>
      <c r="N25" s="177">
        <v>17</v>
      </c>
      <c r="O25" s="177">
        <v>16</v>
      </c>
      <c r="P25" s="177">
        <v>13</v>
      </c>
      <c r="Q25" s="177">
        <v>15</v>
      </c>
      <c r="R25" s="177">
        <v>11</v>
      </c>
      <c r="S25" s="177">
        <v>17</v>
      </c>
      <c r="T25" s="177">
        <v>14</v>
      </c>
      <c r="U25" s="177">
        <v>11</v>
      </c>
      <c r="V25" s="177">
        <v>13</v>
      </c>
    </row>
    <row r="26" spans="1:22" x14ac:dyDescent="0.2">
      <c r="A26" s="158">
        <v>18</v>
      </c>
      <c r="B26" s="171" t="s">
        <v>500</v>
      </c>
      <c r="C26" s="174">
        <v>115</v>
      </c>
      <c r="D26" s="176">
        <v>35</v>
      </c>
      <c r="E26" s="176">
        <v>35</v>
      </c>
      <c r="F26" s="176">
        <v>35</v>
      </c>
      <c r="G26" s="177">
        <v>8</v>
      </c>
      <c r="H26" s="177">
        <v>15</v>
      </c>
      <c r="I26" s="177">
        <v>13</v>
      </c>
      <c r="J26" s="177">
        <v>19</v>
      </c>
      <c r="K26" s="177">
        <v>7</v>
      </c>
      <c r="L26" s="177">
        <v>4</v>
      </c>
      <c r="M26" s="177">
        <v>12</v>
      </c>
      <c r="N26" s="177">
        <v>17</v>
      </c>
      <c r="O26" s="177">
        <v>15</v>
      </c>
      <c r="P26" s="177">
        <v>12</v>
      </c>
      <c r="Q26" s="177">
        <v>11</v>
      </c>
      <c r="R26" s="177">
        <v>22</v>
      </c>
      <c r="S26" s="177">
        <v>15</v>
      </c>
      <c r="T26" s="177">
        <v>20</v>
      </c>
      <c r="U26" s="177">
        <v>3</v>
      </c>
      <c r="V26" s="177">
        <v>7</v>
      </c>
    </row>
    <row r="27" spans="1:22" x14ac:dyDescent="0.2">
      <c r="A27" s="158">
        <v>19</v>
      </c>
      <c r="B27" s="171" t="s">
        <v>501</v>
      </c>
      <c r="C27" s="174">
        <v>115</v>
      </c>
      <c r="D27" s="176">
        <v>65</v>
      </c>
      <c r="E27" s="176">
        <v>80</v>
      </c>
      <c r="F27" s="176">
        <v>65</v>
      </c>
      <c r="G27" s="177">
        <v>7</v>
      </c>
      <c r="H27" s="177">
        <v>12</v>
      </c>
      <c r="I27" s="177">
        <v>9</v>
      </c>
      <c r="J27" s="177">
        <v>11</v>
      </c>
      <c r="K27" s="177">
        <v>11</v>
      </c>
      <c r="L27" s="177">
        <v>6</v>
      </c>
      <c r="M27" s="177">
        <v>17</v>
      </c>
      <c r="N27" s="177">
        <v>18</v>
      </c>
      <c r="O27" s="177">
        <v>23</v>
      </c>
      <c r="P27" s="177">
        <v>9</v>
      </c>
      <c r="Q27" s="177">
        <v>16</v>
      </c>
      <c r="R27" s="177">
        <v>21</v>
      </c>
      <c r="S27" s="177">
        <v>7</v>
      </c>
      <c r="T27" s="177">
        <v>16</v>
      </c>
      <c r="U27" s="177">
        <v>5</v>
      </c>
      <c r="V27" s="177">
        <v>14</v>
      </c>
    </row>
    <row r="28" spans="1:22" x14ac:dyDescent="0.2">
      <c r="A28" s="158">
        <v>20</v>
      </c>
      <c r="B28" s="171" t="s">
        <v>502</v>
      </c>
      <c r="C28" s="174">
        <v>109</v>
      </c>
      <c r="D28" s="176">
        <v>35</v>
      </c>
      <c r="E28" s="176">
        <v>80</v>
      </c>
      <c r="F28" s="176">
        <v>65</v>
      </c>
      <c r="G28" s="177">
        <v>12</v>
      </c>
      <c r="H28" s="177">
        <v>12</v>
      </c>
      <c r="I28" s="177">
        <v>8</v>
      </c>
      <c r="J28" s="177">
        <v>14</v>
      </c>
      <c r="K28" s="177">
        <v>6</v>
      </c>
      <c r="L28" s="177">
        <v>9</v>
      </c>
      <c r="M28" s="177">
        <v>12</v>
      </c>
      <c r="N28" s="177">
        <v>16</v>
      </c>
      <c r="O28" s="177">
        <v>10</v>
      </c>
      <c r="P28" s="177">
        <v>12</v>
      </c>
      <c r="Q28" s="177">
        <v>18</v>
      </c>
      <c r="R28" s="177">
        <v>14</v>
      </c>
      <c r="S28" s="177">
        <v>24</v>
      </c>
      <c r="T28" s="177">
        <v>18</v>
      </c>
      <c r="U28" s="177">
        <v>5</v>
      </c>
      <c r="V28" s="177">
        <v>17</v>
      </c>
    </row>
    <row r="29" spans="1:22" x14ac:dyDescent="0.2">
      <c r="A29" s="158">
        <v>21</v>
      </c>
      <c r="B29" s="172" t="s">
        <v>503</v>
      </c>
      <c r="C29" s="175"/>
      <c r="D29" s="175"/>
      <c r="E29" s="175"/>
      <c r="F29" s="175"/>
      <c r="G29" s="175"/>
      <c r="H29" s="175"/>
      <c r="I29" s="175"/>
      <c r="J29" s="175"/>
      <c r="K29" s="175"/>
      <c r="L29" s="175"/>
      <c r="M29" s="175"/>
      <c r="N29" s="175"/>
      <c r="O29" s="175"/>
      <c r="P29" s="175"/>
      <c r="Q29" s="175"/>
      <c r="R29" s="175"/>
      <c r="S29" s="175"/>
      <c r="T29" s="175"/>
      <c r="U29" s="175"/>
      <c r="V29" s="175"/>
    </row>
    <row r="30" spans="1:22" x14ac:dyDescent="0.2">
      <c r="A30" s="158">
        <v>22</v>
      </c>
      <c r="B30" s="171" t="s">
        <v>504</v>
      </c>
      <c r="C30" s="174">
        <v>105</v>
      </c>
      <c r="D30" s="176">
        <v>35</v>
      </c>
      <c r="E30" s="176">
        <v>80</v>
      </c>
      <c r="F30" s="176">
        <v>35</v>
      </c>
      <c r="G30" s="177">
        <v>9</v>
      </c>
      <c r="H30" s="177">
        <v>11</v>
      </c>
      <c r="I30" s="177">
        <v>15</v>
      </c>
      <c r="J30" s="177">
        <v>16</v>
      </c>
      <c r="K30" s="177">
        <v>14</v>
      </c>
      <c r="L30" s="177">
        <v>13</v>
      </c>
      <c r="M30" s="177">
        <v>12</v>
      </c>
      <c r="N30" s="177">
        <v>13</v>
      </c>
      <c r="O30" s="177">
        <v>18</v>
      </c>
      <c r="P30" s="177">
        <v>15</v>
      </c>
      <c r="Q30" s="177">
        <v>12</v>
      </c>
      <c r="R30" s="177">
        <v>14</v>
      </c>
      <c r="S30" s="177">
        <v>19</v>
      </c>
      <c r="T30" s="177">
        <v>13</v>
      </c>
      <c r="U30" s="177">
        <v>11</v>
      </c>
      <c r="V30" s="177">
        <v>15</v>
      </c>
    </row>
    <row r="31" spans="1:22" x14ac:dyDescent="0.2">
      <c r="A31" s="158">
        <v>23</v>
      </c>
      <c r="B31" s="171" t="s">
        <v>505</v>
      </c>
      <c r="C31" s="174">
        <v>85</v>
      </c>
      <c r="D31" s="176">
        <v>35</v>
      </c>
      <c r="E31" s="176">
        <v>80</v>
      </c>
      <c r="F31" s="176">
        <v>35</v>
      </c>
      <c r="G31" s="177">
        <v>14</v>
      </c>
      <c r="H31" s="177">
        <v>14</v>
      </c>
      <c r="I31" s="177">
        <v>15</v>
      </c>
      <c r="J31" s="177">
        <v>16</v>
      </c>
      <c r="K31" s="177">
        <v>10</v>
      </c>
      <c r="L31" s="177">
        <v>12</v>
      </c>
      <c r="M31" s="177">
        <v>12</v>
      </c>
      <c r="N31" s="177">
        <v>13</v>
      </c>
      <c r="O31" s="177">
        <v>10</v>
      </c>
      <c r="P31" s="177">
        <v>17</v>
      </c>
      <c r="Q31" s="177">
        <v>21</v>
      </c>
      <c r="R31" s="177">
        <v>18</v>
      </c>
      <c r="S31" s="177">
        <v>11</v>
      </c>
      <c r="T31" s="177">
        <v>23</v>
      </c>
      <c r="U31" s="177">
        <v>2</v>
      </c>
      <c r="V31" s="177">
        <v>16</v>
      </c>
    </row>
    <row r="32" spans="1:22" x14ac:dyDescent="0.2">
      <c r="A32" s="158">
        <v>24</v>
      </c>
      <c r="B32" s="171" t="s">
        <v>506</v>
      </c>
      <c r="C32" s="174">
        <v>85</v>
      </c>
      <c r="D32" s="176">
        <v>35</v>
      </c>
      <c r="E32" s="176">
        <v>80</v>
      </c>
      <c r="F32" s="176">
        <v>35</v>
      </c>
      <c r="G32" s="177">
        <v>12</v>
      </c>
      <c r="H32" s="177">
        <v>18</v>
      </c>
      <c r="I32" s="177">
        <v>10</v>
      </c>
      <c r="J32" s="177">
        <v>13</v>
      </c>
      <c r="K32" s="177">
        <v>10</v>
      </c>
      <c r="L32" s="177">
        <v>7</v>
      </c>
      <c r="M32" s="177">
        <v>18</v>
      </c>
      <c r="N32" s="177">
        <v>16</v>
      </c>
      <c r="O32" s="177">
        <v>19</v>
      </c>
      <c r="P32" s="177">
        <v>17</v>
      </c>
      <c r="Q32" s="177">
        <v>23</v>
      </c>
      <c r="R32" s="177">
        <v>21</v>
      </c>
      <c r="S32" s="177">
        <v>17</v>
      </c>
      <c r="T32" s="177">
        <v>18</v>
      </c>
      <c r="U32" s="177">
        <v>0</v>
      </c>
      <c r="V32" s="177">
        <v>4</v>
      </c>
    </row>
    <row r="33" spans="1:22" x14ac:dyDescent="0.2">
      <c r="A33" s="158">
        <v>25</v>
      </c>
      <c r="B33" s="172" t="s">
        <v>507</v>
      </c>
      <c r="C33" s="175"/>
      <c r="D33" s="175"/>
      <c r="E33" s="175"/>
      <c r="F33" s="175"/>
      <c r="G33" s="175"/>
      <c r="H33" s="175"/>
      <c r="I33" s="175"/>
      <c r="J33" s="175"/>
      <c r="K33" s="175"/>
      <c r="L33" s="175"/>
      <c r="M33" s="175"/>
      <c r="N33" s="175"/>
      <c r="O33" s="175"/>
      <c r="P33" s="175"/>
      <c r="Q33" s="175"/>
      <c r="R33" s="175"/>
      <c r="S33" s="175"/>
      <c r="T33" s="175"/>
      <c r="U33" s="175"/>
      <c r="V33" s="175"/>
    </row>
    <row r="34" spans="1:22" x14ac:dyDescent="0.2">
      <c r="A34" s="158">
        <v>26</v>
      </c>
      <c r="B34" s="171" t="s">
        <v>508</v>
      </c>
      <c r="C34" s="174">
        <v>90</v>
      </c>
      <c r="D34" s="176">
        <v>35</v>
      </c>
      <c r="E34" s="176">
        <v>80</v>
      </c>
      <c r="F34" s="176">
        <v>65</v>
      </c>
      <c r="G34" s="177">
        <v>12</v>
      </c>
      <c r="H34" s="177">
        <v>14</v>
      </c>
      <c r="I34" s="177">
        <v>9</v>
      </c>
      <c r="J34" s="177">
        <v>13</v>
      </c>
      <c r="K34" s="177">
        <v>7</v>
      </c>
      <c r="L34" s="177">
        <v>7</v>
      </c>
      <c r="M34" s="177">
        <v>21</v>
      </c>
      <c r="N34" s="177">
        <v>22</v>
      </c>
      <c r="O34" s="177">
        <v>16</v>
      </c>
      <c r="P34" s="177">
        <v>15</v>
      </c>
      <c r="Q34" s="177">
        <v>15</v>
      </c>
      <c r="R34" s="177">
        <v>19</v>
      </c>
      <c r="S34" s="177">
        <v>13</v>
      </c>
      <c r="T34" s="177">
        <v>14</v>
      </c>
      <c r="U34" s="177">
        <v>2</v>
      </c>
      <c r="V34" s="177">
        <v>8</v>
      </c>
    </row>
    <row r="35" spans="1:22" x14ac:dyDescent="0.2">
      <c r="A35" s="158">
        <v>27</v>
      </c>
      <c r="B35" s="171" t="s">
        <v>509</v>
      </c>
      <c r="C35" s="174">
        <v>110</v>
      </c>
      <c r="D35" s="176">
        <v>35</v>
      </c>
      <c r="E35" s="176">
        <v>80</v>
      </c>
      <c r="F35" s="176">
        <v>35</v>
      </c>
      <c r="G35" s="177">
        <v>12</v>
      </c>
      <c r="H35" s="177">
        <v>13</v>
      </c>
      <c r="I35" s="177">
        <v>11</v>
      </c>
      <c r="J35" s="177">
        <v>11</v>
      </c>
      <c r="K35" s="177">
        <v>11</v>
      </c>
      <c r="L35" s="177">
        <v>9</v>
      </c>
      <c r="M35" s="177">
        <v>16</v>
      </c>
      <c r="N35" s="177">
        <v>13</v>
      </c>
      <c r="O35" s="177">
        <v>18</v>
      </c>
      <c r="P35" s="177">
        <v>11</v>
      </c>
      <c r="Q35" s="177">
        <v>20</v>
      </c>
      <c r="R35" s="177">
        <v>23</v>
      </c>
      <c r="S35" s="177">
        <v>13</v>
      </c>
      <c r="T35" s="177">
        <v>16</v>
      </c>
      <c r="U35" s="177">
        <v>4</v>
      </c>
      <c r="V35" s="177">
        <v>5</v>
      </c>
    </row>
    <row r="36" spans="1:22" x14ac:dyDescent="0.2">
      <c r="A36" s="158">
        <v>28</v>
      </c>
      <c r="B36" s="171" t="s">
        <v>510</v>
      </c>
      <c r="C36" s="174">
        <v>115</v>
      </c>
      <c r="D36" s="176">
        <v>35</v>
      </c>
      <c r="E36" s="176">
        <v>80</v>
      </c>
      <c r="F36" s="176">
        <v>35</v>
      </c>
      <c r="G36" s="177">
        <v>15</v>
      </c>
      <c r="H36" s="177">
        <v>9</v>
      </c>
      <c r="I36" s="177">
        <v>7</v>
      </c>
      <c r="J36" s="177">
        <v>9</v>
      </c>
      <c r="K36" s="177">
        <v>11</v>
      </c>
      <c r="L36" s="177">
        <v>12</v>
      </c>
      <c r="M36" s="177">
        <v>10</v>
      </c>
      <c r="N36" s="177">
        <v>19</v>
      </c>
      <c r="O36" s="177">
        <v>10</v>
      </c>
      <c r="P36" s="177">
        <v>17</v>
      </c>
      <c r="Q36" s="177">
        <v>20</v>
      </c>
      <c r="R36" s="177">
        <v>15</v>
      </c>
      <c r="S36" s="177">
        <v>13</v>
      </c>
      <c r="T36" s="177">
        <v>11</v>
      </c>
      <c r="U36" s="177">
        <v>9</v>
      </c>
      <c r="V36" s="177">
        <v>23</v>
      </c>
    </row>
    <row r="37" spans="1:22" x14ac:dyDescent="0.2">
      <c r="A37" s="158">
        <v>29</v>
      </c>
      <c r="B37" s="171" t="s">
        <v>511</v>
      </c>
      <c r="C37" s="174">
        <v>110</v>
      </c>
      <c r="D37" s="176">
        <v>35</v>
      </c>
      <c r="E37" s="176">
        <v>80</v>
      </c>
      <c r="F37" s="176">
        <v>35</v>
      </c>
      <c r="G37" s="177">
        <v>11</v>
      </c>
      <c r="H37" s="177">
        <v>11</v>
      </c>
      <c r="I37" s="177">
        <v>9</v>
      </c>
      <c r="J37" s="177">
        <v>10</v>
      </c>
      <c r="K37" s="177">
        <v>8</v>
      </c>
      <c r="L37" s="177">
        <v>9</v>
      </c>
      <c r="M37" s="177">
        <v>17</v>
      </c>
      <c r="N37" s="177">
        <v>17</v>
      </c>
      <c r="O37" s="177">
        <v>23</v>
      </c>
      <c r="P37" s="177">
        <v>10</v>
      </c>
      <c r="Q37" s="177">
        <v>16</v>
      </c>
      <c r="R37" s="177">
        <v>13</v>
      </c>
      <c r="S37" s="177">
        <v>12</v>
      </c>
      <c r="T37" s="177">
        <v>17</v>
      </c>
      <c r="U37" s="177">
        <v>12</v>
      </c>
      <c r="V37" s="177">
        <v>11</v>
      </c>
    </row>
    <row r="38" spans="1:22" x14ac:dyDescent="0.2">
      <c r="A38" s="158"/>
      <c r="B38" s="171"/>
      <c r="C38" s="174"/>
      <c r="D38" s="176"/>
      <c r="E38" s="176"/>
      <c r="F38" s="176"/>
      <c r="G38" s="177"/>
      <c r="H38" s="177"/>
      <c r="I38" s="177"/>
      <c r="J38" s="177"/>
      <c r="K38" s="177"/>
      <c r="L38" s="177"/>
      <c r="M38" s="177"/>
      <c r="N38" s="177"/>
      <c r="O38" s="177"/>
      <c r="P38" s="177"/>
      <c r="Q38" s="177"/>
      <c r="R38" s="177"/>
      <c r="S38" s="177"/>
      <c r="T38" s="177"/>
      <c r="U38" s="177"/>
      <c r="V38" s="177"/>
    </row>
    <row r="39" spans="1:22" x14ac:dyDescent="0.2">
      <c r="A39" s="158"/>
      <c r="B39" s="171"/>
      <c r="C39" s="174"/>
      <c r="D39" s="176"/>
      <c r="E39" s="176"/>
      <c r="F39" s="176"/>
      <c r="G39" s="177"/>
      <c r="H39" s="177"/>
      <c r="I39" s="177"/>
      <c r="J39" s="177"/>
      <c r="K39" s="177"/>
      <c r="L39" s="177"/>
      <c r="M39" s="177"/>
      <c r="N39" s="177"/>
      <c r="O39" s="177"/>
      <c r="P39" s="177"/>
      <c r="Q39" s="177"/>
      <c r="R39" s="177"/>
      <c r="S39" s="177"/>
      <c r="T39" s="177"/>
      <c r="U39" s="177"/>
      <c r="V39" s="177"/>
    </row>
  </sheetData>
  <mergeCells count="9">
    <mergeCell ref="A3:V3"/>
    <mergeCell ref="A4:V4"/>
    <mergeCell ref="A5:V5"/>
    <mergeCell ref="A6:V6"/>
    <mergeCell ref="A7:A8"/>
    <mergeCell ref="B7:B8"/>
    <mergeCell ref="C7:C8"/>
    <mergeCell ref="D7:F7"/>
    <mergeCell ref="G7:V7"/>
  </mergeCells>
  <pageMargins left="0.45" right="0.2" top="0.5" bottom="0.5" header="0.3" footer="0.3"/>
  <pageSetup paperSize="9" scale="85"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6A5AD-7D7F-42FC-8F6B-79B2CAF850CB}">
  <dimension ref="A3:AI39"/>
  <sheetViews>
    <sheetView view="pageBreakPreview" zoomScaleNormal="100" zoomScaleSheetLayoutView="100" workbookViewId="0">
      <selection activeCell="D9" sqref="D9:F37"/>
    </sheetView>
  </sheetViews>
  <sheetFormatPr defaultColWidth="11.43359375" defaultRowHeight="15" x14ac:dyDescent="0.2"/>
  <cols>
    <col min="1" max="1" width="5.24609375" customWidth="1"/>
    <col min="2" max="2" width="48.42578125" bestFit="1" customWidth="1"/>
    <col min="3" max="3" width="7.80078125" customWidth="1"/>
    <col min="4" max="22" width="5.91796875" customWidth="1"/>
  </cols>
  <sheetData>
    <row r="3" spans="1:35" ht="21.75" x14ac:dyDescent="0.3">
      <c r="A3" s="181" t="s">
        <v>420</v>
      </c>
      <c r="B3" s="181"/>
      <c r="C3" s="181"/>
      <c r="D3" s="181"/>
      <c r="E3" s="181"/>
      <c r="F3" s="181"/>
      <c r="G3" s="181"/>
      <c r="H3" s="181"/>
      <c r="I3" s="181"/>
      <c r="J3" s="181"/>
      <c r="K3" s="181"/>
      <c r="L3" s="181"/>
      <c r="M3" s="181"/>
      <c r="N3" s="181"/>
      <c r="O3" s="181"/>
      <c r="P3" s="181"/>
      <c r="Q3" s="181"/>
      <c r="R3" s="181"/>
      <c r="S3" s="181"/>
      <c r="T3" s="181"/>
      <c r="U3" s="181"/>
      <c r="V3" s="181"/>
      <c r="W3" s="160"/>
      <c r="X3" s="160"/>
      <c r="Y3" s="160"/>
      <c r="Z3" s="160"/>
      <c r="AA3" s="160"/>
      <c r="AB3" s="160"/>
      <c r="AC3" s="160"/>
      <c r="AD3" s="160"/>
      <c r="AE3" s="160"/>
      <c r="AF3" s="160"/>
      <c r="AG3" s="160"/>
      <c r="AH3" s="160"/>
      <c r="AI3" s="160"/>
    </row>
    <row r="4" spans="1:35" ht="18.75" x14ac:dyDescent="0.25">
      <c r="A4" s="182" t="s">
        <v>421</v>
      </c>
      <c r="B4" s="182"/>
      <c r="C4" s="182"/>
      <c r="D4" s="182"/>
      <c r="E4" s="182"/>
      <c r="F4" s="182"/>
      <c r="G4" s="182"/>
      <c r="H4" s="182"/>
      <c r="I4" s="182"/>
      <c r="J4" s="182"/>
      <c r="K4" s="182"/>
      <c r="L4" s="182"/>
      <c r="M4" s="182"/>
      <c r="N4" s="182"/>
      <c r="O4" s="182"/>
      <c r="P4" s="182"/>
      <c r="Q4" s="182"/>
      <c r="R4" s="182"/>
      <c r="S4" s="182"/>
      <c r="T4" s="182"/>
      <c r="U4" s="182"/>
      <c r="V4" s="182"/>
      <c r="W4" s="161"/>
      <c r="X4" s="161"/>
      <c r="Y4" s="161"/>
      <c r="Z4" s="161"/>
      <c r="AA4" s="161"/>
      <c r="AB4" s="161"/>
      <c r="AC4" s="161"/>
      <c r="AD4" s="161"/>
      <c r="AE4" s="161"/>
      <c r="AF4" s="161"/>
      <c r="AG4" s="161"/>
      <c r="AH4" s="161"/>
      <c r="AI4" s="161"/>
    </row>
    <row r="5" spans="1:35" ht="18.75" x14ac:dyDescent="0.25">
      <c r="A5" s="182" t="s">
        <v>541</v>
      </c>
      <c r="B5" s="182"/>
      <c r="C5" s="182"/>
      <c r="D5" s="182"/>
      <c r="E5" s="182"/>
      <c r="F5" s="182"/>
      <c r="G5" s="182"/>
      <c r="H5" s="182"/>
      <c r="I5" s="182"/>
      <c r="J5" s="182"/>
      <c r="K5" s="182"/>
      <c r="L5" s="182"/>
      <c r="M5" s="182"/>
      <c r="N5" s="182"/>
      <c r="O5" s="182"/>
      <c r="P5" s="182"/>
      <c r="Q5" s="182"/>
      <c r="R5" s="182"/>
      <c r="S5" s="182"/>
      <c r="T5" s="182"/>
      <c r="U5" s="182"/>
      <c r="V5" s="182"/>
      <c r="W5" s="161"/>
      <c r="X5" s="161"/>
      <c r="Y5" s="161"/>
      <c r="Z5" s="161"/>
      <c r="AA5" s="161"/>
      <c r="AB5" s="161"/>
      <c r="AC5" s="161"/>
      <c r="AD5" s="161"/>
      <c r="AE5" s="161"/>
      <c r="AF5" s="161"/>
      <c r="AG5" s="161"/>
      <c r="AH5" s="161"/>
      <c r="AI5" s="161"/>
    </row>
    <row r="6" spans="1:35" x14ac:dyDescent="0.2">
      <c r="A6" s="186"/>
      <c r="B6" s="186"/>
      <c r="C6" s="186"/>
      <c r="D6" s="186"/>
      <c r="E6" s="186"/>
      <c r="F6" s="186"/>
      <c r="G6" s="186"/>
      <c r="H6" s="186"/>
      <c r="I6" s="186"/>
      <c r="J6" s="186"/>
      <c r="K6" s="186"/>
      <c r="L6" s="186"/>
      <c r="M6" s="186"/>
      <c r="N6" s="186"/>
      <c r="O6" s="186"/>
      <c r="P6" s="186"/>
      <c r="Q6" s="186"/>
      <c r="R6" s="186"/>
      <c r="S6" s="186"/>
      <c r="T6" s="186"/>
      <c r="U6" s="186"/>
      <c r="V6" s="186"/>
    </row>
    <row r="7" spans="1:35" x14ac:dyDescent="0.2">
      <c r="A7" s="187" t="s">
        <v>0</v>
      </c>
      <c r="B7" s="187" t="s">
        <v>379</v>
      </c>
      <c r="C7" s="187" t="s">
        <v>2</v>
      </c>
      <c r="D7" s="187" t="s">
        <v>417</v>
      </c>
      <c r="E7" s="187"/>
      <c r="F7" s="187"/>
      <c r="G7" s="183" t="s">
        <v>418</v>
      </c>
      <c r="H7" s="184"/>
      <c r="I7" s="184"/>
      <c r="J7" s="184"/>
      <c r="K7" s="184"/>
      <c r="L7" s="184"/>
      <c r="M7" s="184"/>
      <c r="N7" s="184"/>
      <c r="O7" s="184"/>
      <c r="P7" s="184"/>
      <c r="Q7" s="184"/>
      <c r="R7" s="184"/>
      <c r="S7" s="184"/>
      <c r="T7" s="184"/>
      <c r="U7" s="184"/>
      <c r="V7" s="185"/>
    </row>
    <row r="8" spans="1:35" x14ac:dyDescent="0.2">
      <c r="A8" s="187"/>
      <c r="B8" s="187"/>
      <c r="C8" s="187"/>
      <c r="D8" s="162">
        <v>1</v>
      </c>
      <c r="E8" s="162">
        <v>2</v>
      </c>
      <c r="F8" s="162">
        <v>3</v>
      </c>
      <c r="G8" s="162">
        <v>1</v>
      </c>
      <c r="H8" s="162">
        <v>2</v>
      </c>
      <c r="I8" s="162">
        <v>3</v>
      </c>
      <c r="J8" s="162">
        <v>4</v>
      </c>
      <c r="K8" s="162">
        <v>5</v>
      </c>
      <c r="L8" s="162">
        <v>6</v>
      </c>
      <c r="M8" s="162">
        <v>7</v>
      </c>
      <c r="N8" s="162">
        <v>8</v>
      </c>
      <c r="O8" s="162">
        <v>9</v>
      </c>
      <c r="P8" s="162">
        <v>10</v>
      </c>
      <c r="Q8" s="162">
        <v>11</v>
      </c>
      <c r="R8" s="162">
        <v>12</v>
      </c>
      <c r="S8" s="162">
        <v>13</v>
      </c>
      <c r="T8" s="162">
        <v>14</v>
      </c>
      <c r="U8" s="162">
        <v>15</v>
      </c>
      <c r="V8" s="162">
        <v>16</v>
      </c>
    </row>
    <row r="9" spans="1:35" x14ac:dyDescent="0.2">
      <c r="A9" s="158">
        <v>1</v>
      </c>
      <c r="B9" s="171" t="s">
        <v>512</v>
      </c>
      <c r="C9" s="174">
        <v>109</v>
      </c>
      <c r="D9" s="176">
        <v>35</v>
      </c>
      <c r="E9" s="176">
        <v>35</v>
      </c>
      <c r="F9" s="176">
        <v>35</v>
      </c>
      <c r="G9" s="177">
        <v>11</v>
      </c>
      <c r="H9" s="177">
        <v>13</v>
      </c>
      <c r="I9" s="177">
        <v>12</v>
      </c>
      <c r="J9" s="177">
        <v>13</v>
      </c>
      <c r="K9" s="177">
        <v>15</v>
      </c>
      <c r="L9" s="177">
        <v>7</v>
      </c>
      <c r="M9" s="177">
        <v>12</v>
      </c>
      <c r="N9" s="177">
        <v>16</v>
      </c>
      <c r="O9" s="177">
        <v>19</v>
      </c>
      <c r="P9" s="177">
        <v>15</v>
      </c>
      <c r="Q9" s="177">
        <v>17</v>
      </c>
      <c r="R9" s="177">
        <v>23</v>
      </c>
      <c r="S9" s="177">
        <v>14</v>
      </c>
      <c r="T9" s="177">
        <v>16</v>
      </c>
      <c r="U9" s="177">
        <v>6</v>
      </c>
      <c r="V9" s="177">
        <v>13</v>
      </c>
    </row>
    <row r="10" spans="1:35" x14ac:dyDescent="0.2">
      <c r="A10" s="158">
        <v>2</v>
      </c>
      <c r="B10" s="171" t="s">
        <v>513</v>
      </c>
      <c r="C10" s="174">
        <v>119</v>
      </c>
      <c r="D10" s="176">
        <v>35</v>
      </c>
      <c r="E10" s="176">
        <v>80</v>
      </c>
      <c r="F10" s="176">
        <v>35</v>
      </c>
      <c r="G10" s="177">
        <v>9</v>
      </c>
      <c r="H10" s="177">
        <v>17</v>
      </c>
      <c r="I10" s="177">
        <v>11</v>
      </c>
      <c r="J10" s="177">
        <v>15</v>
      </c>
      <c r="K10" s="177">
        <v>8</v>
      </c>
      <c r="L10" s="177">
        <v>11</v>
      </c>
      <c r="M10" s="177">
        <v>12</v>
      </c>
      <c r="N10" s="177">
        <v>8</v>
      </c>
      <c r="O10" s="177">
        <v>6</v>
      </c>
      <c r="P10" s="177">
        <v>20</v>
      </c>
      <c r="Q10" s="177">
        <v>12</v>
      </c>
      <c r="R10" s="177">
        <v>23</v>
      </c>
      <c r="S10" s="177">
        <v>17</v>
      </c>
      <c r="T10" s="177">
        <v>23</v>
      </c>
      <c r="U10" s="177">
        <v>10</v>
      </c>
      <c r="V10" s="177">
        <v>13</v>
      </c>
    </row>
    <row r="11" spans="1:35" x14ac:dyDescent="0.2">
      <c r="A11" s="158">
        <v>3</v>
      </c>
      <c r="B11" s="171" t="s">
        <v>514</v>
      </c>
      <c r="C11" s="174">
        <v>80</v>
      </c>
      <c r="D11" s="176">
        <v>35</v>
      </c>
      <c r="E11" s="176">
        <v>80</v>
      </c>
      <c r="F11" s="176">
        <v>35</v>
      </c>
      <c r="G11" s="177">
        <v>10</v>
      </c>
      <c r="H11" s="177">
        <v>21</v>
      </c>
      <c r="I11" s="177">
        <v>17</v>
      </c>
      <c r="J11" s="177">
        <v>12</v>
      </c>
      <c r="K11" s="177">
        <v>9</v>
      </c>
      <c r="L11" s="177">
        <v>12</v>
      </c>
      <c r="M11" s="177">
        <v>16</v>
      </c>
      <c r="N11" s="177">
        <v>14</v>
      </c>
      <c r="O11" s="177">
        <v>9</v>
      </c>
      <c r="P11" s="177">
        <v>18</v>
      </c>
      <c r="Q11" s="177">
        <v>13</v>
      </c>
      <c r="R11" s="177">
        <v>13</v>
      </c>
      <c r="S11" s="177">
        <v>12</v>
      </c>
      <c r="T11" s="177">
        <v>23</v>
      </c>
      <c r="U11" s="177">
        <v>7</v>
      </c>
      <c r="V11" s="177">
        <v>15</v>
      </c>
    </row>
    <row r="12" spans="1:35" x14ac:dyDescent="0.2">
      <c r="A12" s="158">
        <v>4</v>
      </c>
      <c r="B12" s="171" t="s">
        <v>515</v>
      </c>
      <c r="C12" s="174">
        <v>119</v>
      </c>
      <c r="D12" s="176">
        <v>35</v>
      </c>
      <c r="E12" s="176">
        <v>80</v>
      </c>
      <c r="F12" s="176">
        <v>65</v>
      </c>
      <c r="G12" s="177">
        <v>12</v>
      </c>
      <c r="H12" s="177">
        <v>11</v>
      </c>
      <c r="I12" s="177">
        <v>9</v>
      </c>
      <c r="J12" s="177">
        <v>14</v>
      </c>
      <c r="K12" s="177">
        <v>13</v>
      </c>
      <c r="L12" s="177">
        <v>8</v>
      </c>
      <c r="M12" s="177">
        <v>19</v>
      </c>
      <c r="N12" s="177">
        <v>10</v>
      </c>
      <c r="O12" s="177">
        <v>24</v>
      </c>
      <c r="P12" s="177">
        <v>13</v>
      </c>
      <c r="Q12" s="177">
        <v>22</v>
      </c>
      <c r="R12" s="177">
        <v>15</v>
      </c>
      <c r="S12" s="177">
        <v>16</v>
      </c>
      <c r="T12" s="177">
        <v>14</v>
      </c>
      <c r="U12" s="177">
        <v>12</v>
      </c>
      <c r="V12" s="177">
        <v>14</v>
      </c>
    </row>
    <row r="13" spans="1:35" x14ac:dyDescent="0.2">
      <c r="A13" s="158">
        <v>5</v>
      </c>
      <c r="B13" s="171" t="s">
        <v>516</v>
      </c>
      <c r="C13" s="174">
        <v>109</v>
      </c>
      <c r="D13" s="176">
        <v>35</v>
      </c>
      <c r="E13" s="176">
        <v>80</v>
      </c>
      <c r="F13" s="176">
        <v>65</v>
      </c>
      <c r="G13" s="177">
        <v>13</v>
      </c>
      <c r="H13" s="177">
        <v>16</v>
      </c>
      <c r="I13" s="177">
        <v>11</v>
      </c>
      <c r="J13" s="177">
        <v>22</v>
      </c>
      <c r="K13" s="177">
        <v>13</v>
      </c>
      <c r="L13" s="177">
        <v>9</v>
      </c>
      <c r="M13" s="177">
        <v>13</v>
      </c>
      <c r="N13" s="177">
        <v>21</v>
      </c>
      <c r="O13" s="177">
        <v>17</v>
      </c>
      <c r="P13" s="177">
        <v>9</v>
      </c>
      <c r="Q13" s="177">
        <v>19</v>
      </c>
      <c r="R13" s="177">
        <v>18</v>
      </c>
      <c r="S13" s="177">
        <v>13</v>
      </c>
      <c r="T13" s="177">
        <v>15</v>
      </c>
      <c r="U13" s="177">
        <v>3</v>
      </c>
      <c r="V13" s="177">
        <v>10</v>
      </c>
    </row>
    <row r="14" spans="1:35" x14ac:dyDescent="0.2">
      <c r="A14" s="158">
        <v>6</v>
      </c>
      <c r="B14" s="171" t="s">
        <v>517</v>
      </c>
      <c r="C14" s="174">
        <v>80</v>
      </c>
      <c r="D14" s="176">
        <v>35</v>
      </c>
      <c r="E14" s="176">
        <v>35</v>
      </c>
      <c r="F14" s="176">
        <v>35</v>
      </c>
      <c r="G14" s="177">
        <v>5</v>
      </c>
      <c r="H14" s="177">
        <v>12</v>
      </c>
      <c r="I14" s="177">
        <v>17</v>
      </c>
      <c r="J14" s="177">
        <v>21</v>
      </c>
      <c r="K14" s="177">
        <v>20</v>
      </c>
      <c r="L14" s="177">
        <v>18</v>
      </c>
      <c r="M14" s="177">
        <v>14</v>
      </c>
      <c r="N14" s="177">
        <v>14</v>
      </c>
      <c r="O14" s="177">
        <v>18</v>
      </c>
      <c r="P14" s="177">
        <v>11</v>
      </c>
      <c r="Q14" s="177">
        <v>13</v>
      </c>
      <c r="R14" s="177">
        <v>7</v>
      </c>
      <c r="S14" s="177">
        <v>7</v>
      </c>
      <c r="T14" s="177">
        <v>14</v>
      </c>
      <c r="U14" s="177">
        <v>10</v>
      </c>
      <c r="V14" s="177">
        <v>14</v>
      </c>
    </row>
    <row r="15" spans="1:35" x14ac:dyDescent="0.2">
      <c r="A15" s="158">
        <v>7</v>
      </c>
      <c r="B15" s="171" t="s">
        <v>518</v>
      </c>
      <c r="C15" s="174">
        <v>90</v>
      </c>
      <c r="D15" s="176">
        <v>35</v>
      </c>
      <c r="E15" s="176">
        <v>80</v>
      </c>
      <c r="F15" s="176">
        <v>65</v>
      </c>
      <c r="G15" s="177">
        <v>8</v>
      </c>
      <c r="H15" s="177">
        <v>14</v>
      </c>
      <c r="I15" s="177">
        <v>10</v>
      </c>
      <c r="J15" s="177">
        <v>7</v>
      </c>
      <c r="K15" s="177">
        <v>15</v>
      </c>
      <c r="L15" s="177">
        <v>11</v>
      </c>
      <c r="M15" s="177">
        <v>17</v>
      </c>
      <c r="N15" s="177">
        <v>10</v>
      </c>
      <c r="O15" s="177">
        <v>15</v>
      </c>
      <c r="P15" s="177">
        <v>16</v>
      </c>
      <c r="Q15" s="177">
        <v>17</v>
      </c>
      <c r="R15" s="177">
        <v>14</v>
      </c>
      <c r="S15" s="177">
        <v>13</v>
      </c>
      <c r="T15" s="177">
        <v>12</v>
      </c>
      <c r="U15" s="177">
        <v>16</v>
      </c>
      <c r="V15" s="177">
        <v>22</v>
      </c>
    </row>
    <row r="16" spans="1:35" x14ac:dyDescent="0.2">
      <c r="A16" s="158">
        <v>8</v>
      </c>
      <c r="B16" s="171" t="s">
        <v>519</v>
      </c>
      <c r="C16" s="174">
        <v>80</v>
      </c>
      <c r="D16" s="176">
        <v>35</v>
      </c>
      <c r="E16" s="176">
        <v>80</v>
      </c>
      <c r="F16" s="176">
        <v>35</v>
      </c>
      <c r="G16" s="177">
        <v>2</v>
      </c>
      <c r="H16" s="177">
        <v>19</v>
      </c>
      <c r="I16" s="177">
        <v>11</v>
      </c>
      <c r="J16" s="177">
        <v>16</v>
      </c>
      <c r="K16" s="177">
        <v>12</v>
      </c>
      <c r="L16" s="177">
        <v>17</v>
      </c>
      <c r="M16" s="177">
        <v>12</v>
      </c>
      <c r="N16" s="177">
        <v>16</v>
      </c>
      <c r="O16" s="177">
        <v>12</v>
      </c>
      <c r="P16" s="177">
        <v>11</v>
      </c>
      <c r="Q16" s="177">
        <v>16</v>
      </c>
      <c r="R16" s="177">
        <v>11</v>
      </c>
      <c r="S16" s="177">
        <v>16</v>
      </c>
      <c r="T16" s="177">
        <v>11</v>
      </c>
      <c r="U16" s="177">
        <v>16</v>
      </c>
      <c r="V16" s="177">
        <v>11</v>
      </c>
    </row>
    <row r="17" spans="1:22" x14ac:dyDescent="0.2">
      <c r="A17" s="158">
        <v>9</v>
      </c>
      <c r="B17" s="171" t="s">
        <v>520</v>
      </c>
      <c r="C17" s="174">
        <v>115</v>
      </c>
      <c r="D17" s="176">
        <v>35</v>
      </c>
      <c r="E17" s="176">
        <v>80</v>
      </c>
      <c r="F17" s="176">
        <v>35</v>
      </c>
      <c r="G17" s="177">
        <v>10</v>
      </c>
      <c r="H17" s="177">
        <v>10</v>
      </c>
      <c r="I17" s="177">
        <v>11</v>
      </c>
      <c r="J17" s="177">
        <v>12</v>
      </c>
      <c r="K17" s="177">
        <v>12</v>
      </c>
      <c r="L17" s="177">
        <v>15</v>
      </c>
      <c r="M17" s="177">
        <v>19</v>
      </c>
      <c r="N17" s="177">
        <v>16</v>
      </c>
      <c r="O17" s="177">
        <v>6</v>
      </c>
      <c r="P17" s="177">
        <v>16</v>
      </c>
      <c r="Q17" s="177">
        <v>19</v>
      </c>
      <c r="R17" s="177">
        <v>16</v>
      </c>
      <c r="S17" s="177">
        <v>13</v>
      </c>
      <c r="T17" s="177">
        <v>16</v>
      </c>
      <c r="U17" s="177">
        <v>16</v>
      </c>
      <c r="V17" s="177">
        <v>14</v>
      </c>
    </row>
    <row r="18" spans="1:22" x14ac:dyDescent="0.2">
      <c r="A18" s="158">
        <v>10</v>
      </c>
      <c r="B18" s="171" t="s">
        <v>521</v>
      </c>
      <c r="C18" s="174">
        <v>115</v>
      </c>
      <c r="D18" s="176">
        <v>35</v>
      </c>
      <c r="E18" s="176">
        <v>65</v>
      </c>
      <c r="F18" s="176">
        <v>35</v>
      </c>
      <c r="G18" s="177">
        <v>15</v>
      </c>
      <c r="H18" s="177">
        <v>18</v>
      </c>
      <c r="I18" s="177">
        <v>7</v>
      </c>
      <c r="J18" s="177">
        <v>18</v>
      </c>
      <c r="K18" s="177">
        <v>15</v>
      </c>
      <c r="L18" s="177">
        <v>15</v>
      </c>
      <c r="M18" s="177">
        <v>5</v>
      </c>
      <c r="N18" s="177">
        <v>17</v>
      </c>
      <c r="O18" s="177">
        <v>9</v>
      </c>
      <c r="P18" s="177">
        <v>13</v>
      </c>
      <c r="Q18" s="177">
        <v>23</v>
      </c>
      <c r="R18" s="177">
        <v>19</v>
      </c>
      <c r="S18" s="177">
        <v>12</v>
      </c>
      <c r="T18" s="177">
        <v>18</v>
      </c>
      <c r="U18" s="177">
        <v>1</v>
      </c>
      <c r="V18" s="177">
        <v>22</v>
      </c>
    </row>
    <row r="19" spans="1:22" x14ac:dyDescent="0.2">
      <c r="A19" s="158">
        <v>11</v>
      </c>
      <c r="B19" s="171" t="s">
        <v>522</v>
      </c>
      <c r="C19" s="174">
        <v>105</v>
      </c>
      <c r="D19" s="176">
        <v>35</v>
      </c>
      <c r="E19" s="176">
        <v>80</v>
      </c>
      <c r="F19" s="176">
        <v>35</v>
      </c>
      <c r="G19" s="177">
        <v>11</v>
      </c>
      <c r="H19" s="177">
        <v>13</v>
      </c>
      <c r="I19" s="177">
        <v>10</v>
      </c>
      <c r="J19" s="177">
        <v>16</v>
      </c>
      <c r="K19" s="177">
        <v>9</v>
      </c>
      <c r="L19" s="177">
        <v>12</v>
      </c>
      <c r="M19" s="177">
        <v>18</v>
      </c>
      <c r="N19" s="177">
        <v>17</v>
      </c>
      <c r="O19" s="177">
        <v>13</v>
      </c>
      <c r="P19" s="177">
        <v>13</v>
      </c>
      <c r="Q19" s="177">
        <v>18</v>
      </c>
      <c r="R19" s="177">
        <v>21</v>
      </c>
      <c r="S19" s="177">
        <v>8</v>
      </c>
      <c r="T19" s="177">
        <v>12</v>
      </c>
      <c r="U19" s="177">
        <v>16</v>
      </c>
      <c r="V19" s="177">
        <v>14</v>
      </c>
    </row>
    <row r="20" spans="1:22" x14ac:dyDescent="0.2">
      <c r="A20" s="158">
        <v>12</v>
      </c>
      <c r="B20" s="171" t="s">
        <v>523</v>
      </c>
      <c r="C20" s="174">
        <v>80</v>
      </c>
      <c r="D20" s="176">
        <v>35</v>
      </c>
      <c r="E20" s="176">
        <v>35</v>
      </c>
      <c r="F20" s="176">
        <v>35</v>
      </c>
      <c r="G20" s="177">
        <v>9</v>
      </c>
      <c r="H20" s="177">
        <v>14</v>
      </c>
      <c r="I20" s="177">
        <v>12</v>
      </c>
      <c r="J20" s="177">
        <v>12</v>
      </c>
      <c r="K20" s="177">
        <v>17</v>
      </c>
      <c r="L20" s="177">
        <v>16</v>
      </c>
      <c r="M20" s="177">
        <v>18</v>
      </c>
      <c r="N20" s="177">
        <v>13</v>
      </c>
      <c r="O20" s="177">
        <v>7</v>
      </c>
      <c r="P20" s="177">
        <v>18</v>
      </c>
      <c r="Q20" s="177">
        <v>15</v>
      </c>
      <c r="R20" s="177">
        <v>15</v>
      </c>
      <c r="S20" s="177">
        <v>15</v>
      </c>
      <c r="T20" s="177">
        <v>12</v>
      </c>
      <c r="U20" s="177">
        <v>12</v>
      </c>
      <c r="V20" s="177">
        <v>14</v>
      </c>
    </row>
    <row r="21" spans="1:22" x14ac:dyDescent="0.2">
      <c r="A21" s="158">
        <v>13</v>
      </c>
      <c r="B21" s="171" t="s">
        <v>524</v>
      </c>
      <c r="C21" s="174">
        <v>89</v>
      </c>
      <c r="D21" s="176">
        <v>35</v>
      </c>
      <c r="E21" s="176">
        <v>35</v>
      </c>
      <c r="F21" s="176">
        <v>35</v>
      </c>
      <c r="G21" s="177">
        <v>7</v>
      </c>
      <c r="H21" s="177">
        <v>10</v>
      </c>
      <c r="I21" s="177">
        <v>18</v>
      </c>
      <c r="J21" s="177">
        <v>14</v>
      </c>
      <c r="K21" s="177">
        <v>13</v>
      </c>
      <c r="L21" s="177">
        <v>18</v>
      </c>
      <c r="M21" s="177">
        <v>12</v>
      </c>
      <c r="N21" s="177">
        <v>15</v>
      </c>
      <c r="O21" s="177">
        <v>16</v>
      </c>
      <c r="P21" s="177">
        <v>11</v>
      </c>
      <c r="Q21" s="177">
        <v>16</v>
      </c>
      <c r="R21" s="177">
        <v>12</v>
      </c>
      <c r="S21" s="177">
        <v>10</v>
      </c>
      <c r="T21" s="177">
        <v>19</v>
      </c>
      <c r="U21" s="177">
        <v>13</v>
      </c>
      <c r="V21" s="177">
        <v>14</v>
      </c>
    </row>
    <row r="22" spans="1:22" x14ac:dyDescent="0.2">
      <c r="A22" s="158">
        <v>14</v>
      </c>
      <c r="B22" s="171" t="s">
        <v>525</v>
      </c>
      <c r="C22" s="174">
        <v>90</v>
      </c>
      <c r="D22" s="176">
        <v>35</v>
      </c>
      <c r="E22" s="176">
        <v>80</v>
      </c>
      <c r="F22" s="176">
        <v>35</v>
      </c>
      <c r="G22" s="177">
        <v>10</v>
      </c>
      <c r="H22" s="177">
        <v>17</v>
      </c>
      <c r="I22" s="177">
        <v>11</v>
      </c>
      <c r="J22" s="177">
        <v>12</v>
      </c>
      <c r="K22" s="177">
        <v>16</v>
      </c>
      <c r="L22" s="177">
        <v>12</v>
      </c>
      <c r="M22" s="177">
        <v>10</v>
      </c>
      <c r="N22" s="177">
        <v>15</v>
      </c>
      <c r="O22" s="177">
        <v>11</v>
      </c>
      <c r="P22" s="177">
        <v>15</v>
      </c>
      <c r="Q22" s="177">
        <v>15</v>
      </c>
      <c r="R22" s="177">
        <v>14</v>
      </c>
      <c r="S22" s="177">
        <v>12</v>
      </c>
      <c r="T22" s="177">
        <v>17</v>
      </c>
      <c r="U22" s="177">
        <v>14</v>
      </c>
      <c r="V22" s="177">
        <v>8</v>
      </c>
    </row>
    <row r="23" spans="1:22" x14ac:dyDescent="0.2">
      <c r="A23" s="158">
        <v>15</v>
      </c>
      <c r="B23" s="171" t="s">
        <v>526</v>
      </c>
      <c r="C23" s="174">
        <v>85</v>
      </c>
      <c r="D23" s="176">
        <v>35</v>
      </c>
      <c r="E23" s="176">
        <v>80</v>
      </c>
      <c r="F23" s="176">
        <v>35</v>
      </c>
      <c r="G23" s="177">
        <v>10</v>
      </c>
      <c r="H23" s="177">
        <v>10</v>
      </c>
      <c r="I23" s="177">
        <v>12</v>
      </c>
      <c r="J23" s="177">
        <v>14</v>
      </c>
      <c r="K23" s="177">
        <v>9</v>
      </c>
      <c r="L23" s="177">
        <v>15</v>
      </c>
      <c r="M23" s="177">
        <v>16</v>
      </c>
      <c r="N23" s="177">
        <v>15</v>
      </c>
      <c r="O23" s="177">
        <v>13</v>
      </c>
      <c r="P23" s="177">
        <v>15</v>
      </c>
      <c r="Q23" s="177">
        <v>14</v>
      </c>
      <c r="R23" s="177">
        <v>21</v>
      </c>
      <c r="S23" s="177">
        <v>12</v>
      </c>
      <c r="T23" s="177">
        <v>17</v>
      </c>
      <c r="U23" s="177">
        <v>12</v>
      </c>
      <c r="V23" s="177">
        <v>15</v>
      </c>
    </row>
    <row r="24" spans="1:22" x14ac:dyDescent="0.2">
      <c r="A24" s="158">
        <v>16</v>
      </c>
      <c r="B24" s="171" t="s">
        <v>527</v>
      </c>
      <c r="C24" s="174">
        <v>109</v>
      </c>
      <c r="D24" s="176">
        <v>35</v>
      </c>
      <c r="E24" s="176">
        <v>35</v>
      </c>
      <c r="F24" s="176">
        <v>35</v>
      </c>
      <c r="G24" s="177">
        <v>9</v>
      </c>
      <c r="H24" s="177">
        <v>14</v>
      </c>
      <c r="I24" s="177">
        <v>6</v>
      </c>
      <c r="J24" s="177">
        <v>17</v>
      </c>
      <c r="K24" s="177">
        <v>14</v>
      </c>
      <c r="L24" s="177">
        <v>10</v>
      </c>
      <c r="M24" s="177">
        <v>18</v>
      </c>
      <c r="N24" s="177">
        <v>11</v>
      </c>
      <c r="O24" s="177">
        <v>23</v>
      </c>
      <c r="P24" s="177">
        <v>13</v>
      </c>
      <c r="Q24" s="177">
        <v>20</v>
      </c>
      <c r="R24" s="177">
        <v>14</v>
      </c>
      <c r="S24" s="177">
        <v>12</v>
      </c>
      <c r="T24" s="177">
        <v>8</v>
      </c>
      <c r="U24" s="177">
        <v>10</v>
      </c>
      <c r="V24" s="177">
        <v>16</v>
      </c>
    </row>
    <row r="25" spans="1:22" x14ac:dyDescent="0.2">
      <c r="A25" s="159">
        <v>17</v>
      </c>
      <c r="B25" s="173" t="s">
        <v>528</v>
      </c>
      <c r="C25" s="174">
        <v>90</v>
      </c>
      <c r="D25" s="176">
        <v>35</v>
      </c>
      <c r="E25" s="176">
        <v>80</v>
      </c>
      <c r="F25" s="176">
        <v>35</v>
      </c>
      <c r="G25" s="177">
        <v>13</v>
      </c>
      <c r="H25" s="177">
        <v>17</v>
      </c>
      <c r="I25" s="177">
        <v>9</v>
      </c>
      <c r="J25" s="177">
        <v>14</v>
      </c>
      <c r="K25" s="177">
        <v>13</v>
      </c>
      <c r="L25" s="177">
        <v>11</v>
      </c>
      <c r="M25" s="177">
        <v>13</v>
      </c>
      <c r="N25" s="177">
        <v>17</v>
      </c>
      <c r="O25" s="177">
        <v>10</v>
      </c>
      <c r="P25" s="177">
        <v>16</v>
      </c>
      <c r="Q25" s="177">
        <v>15</v>
      </c>
      <c r="R25" s="177">
        <v>21</v>
      </c>
      <c r="S25" s="177">
        <v>10</v>
      </c>
      <c r="T25" s="177">
        <v>19</v>
      </c>
      <c r="U25" s="177">
        <v>11</v>
      </c>
      <c r="V25" s="177">
        <v>14</v>
      </c>
    </row>
    <row r="26" spans="1:22" x14ac:dyDescent="0.2">
      <c r="A26" s="158">
        <v>18</v>
      </c>
      <c r="B26" s="171" t="s">
        <v>529</v>
      </c>
      <c r="C26" s="174">
        <v>109</v>
      </c>
      <c r="D26" s="176">
        <v>35</v>
      </c>
      <c r="E26" s="176">
        <v>35</v>
      </c>
      <c r="F26" s="176">
        <v>35</v>
      </c>
      <c r="G26" s="177">
        <v>12</v>
      </c>
      <c r="H26" s="177">
        <v>14</v>
      </c>
      <c r="I26" s="177">
        <v>16</v>
      </c>
      <c r="J26" s="177">
        <v>16</v>
      </c>
      <c r="K26" s="177">
        <v>15</v>
      </c>
      <c r="L26" s="177">
        <v>7</v>
      </c>
      <c r="M26" s="177">
        <v>17</v>
      </c>
      <c r="N26" s="177">
        <v>23</v>
      </c>
      <c r="O26" s="177">
        <v>15</v>
      </c>
      <c r="P26" s="177">
        <v>14</v>
      </c>
      <c r="Q26" s="177">
        <v>15</v>
      </c>
      <c r="R26" s="177">
        <v>19</v>
      </c>
      <c r="S26" s="177">
        <v>11</v>
      </c>
      <c r="T26" s="177">
        <v>15</v>
      </c>
      <c r="U26" s="177">
        <v>0</v>
      </c>
      <c r="V26" s="177">
        <v>14</v>
      </c>
    </row>
    <row r="27" spans="1:22" x14ac:dyDescent="0.2">
      <c r="A27" s="158">
        <v>19</v>
      </c>
      <c r="B27" s="171" t="s">
        <v>530</v>
      </c>
      <c r="C27" s="174">
        <v>125</v>
      </c>
      <c r="D27" s="176">
        <v>35</v>
      </c>
      <c r="E27" s="176">
        <v>80</v>
      </c>
      <c r="F27" s="176">
        <v>65</v>
      </c>
      <c r="G27" s="177">
        <v>8</v>
      </c>
      <c r="H27" s="177">
        <v>14</v>
      </c>
      <c r="I27" s="177">
        <v>9</v>
      </c>
      <c r="J27" s="177">
        <v>13</v>
      </c>
      <c r="K27" s="177">
        <v>10</v>
      </c>
      <c r="L27" s="177">
        <v>16</v>
      </c>
      <c r="M27" s="177">
        <v>13</v>
      </c>
      <c r="N27" s="177">
        <v>18</v>
      </c>
      <c r="O27" s="177">
        <v>8</v>
      </c>
      <c r="P27" s="177">
        <v>19</v>
      </c>
      <c r="Q27" s="177">
        <v>21</v>
      </c>
      <c r="R27" s="177">
        <v>20</v>
      </c>
      <c r="S27" s="177">
        <v>14</v>
      </c>
      <c r="T27" s="177">
        <v>14</v>
      </c>
      <c r="U27" s="177">
        <v>2</v>
      </c>
      <c r="V27" s="177">
        <v>20</v>
      </c>
    </row>
    <row r="28" spans="1:22" x14ac:dyDescent="0.2">
      <c r="A28" s="158">
        <v>20</v>
      </c>
      <c r="B28" s="171" t="s">
        <v>531</v>
      </c>
      <c r="C28" s="174">
        <v>125</v>
      </c>
      <c r="D28" s="176">
        <v>35</v>
      </c>
      <c r="E28" s="176">
        <v>80</v>
      </c>
      <c r="F28" s="176">
        <v>65</v>
      </c>
      <c r="G28" s="177">
        <v>12</v>
      </c>
      <c r="H28" s="177">
        <v>16</v>
      </c>
      <c r="I28" s="177">
        <v>15</v>
      </c>
      <c r="J28" s="177">
        <v>12</v>
      </c>
      <c r="K28" s="177">
        <v>9</v>
      </c>
      <c r="L28" s="177">
        <v>13</v>
      </c>
      <c r="M28" s="177">
        <v>14</v>
      </c>
      <c r="N28" s="177">
        <v>11</v>
      </c>
      <c r="O28" s="177">
        <v>6</v>
      </c>
      <c r="P28" s="177">
        <v>7</v>
      </c>
      <c r="Q28" s="177">
        <v>20</v>
      </c>
      <c r="R28" s="177">
        <v>17</v>
      </c>
      <c r="S28" s="177">
        <v>17</v>
      </c>
      <c r="T28" s="177">
        <v>20</v>
      </c>
      <c r="U28" s="177">
        <v>17</v>
      </c>
      <c r="V28" s="177">
        <v>14</v>
      </c>
    </row>
    <row r="29" spans="1:22" x14ac:dyDescent="0.2">
      <c r="A29" s="158">
        <v>21</v>
      </c>
      <c r="B29" s="171" t="s">
        <v>532</v>
      </c>
      <c r="C29" s="174">
        <v>125</v>
      </c>
      <c r="D29" s="176">
        <v>35</v>
      </c>
      <c r="E29" s="176">
        <v>80</v>
      </c>
      <c r="F29" s="176">
        <v>65</v>
      </c>
      <c r="G29" s="177">
        <v>11</v>
      </c>
      <c r="H29" s="177">
        <v>15</v>
      </c>
      <c r="I29" s="177">
        <v>10</v>
      </c>
      <c r="J29" s="177">
        <v>11</v>
      </c>
      <c r="K29" s="177">
        <v>10</v>
      </c>
      <c r="L29" s="177">
        <v>11</v>
      </c>
      <c r="M29" s="177">
        <v>11</v>
      </c>
      <c r="N29" s="177">
        <v>15</v>
      </c>
      <c r="O29" s="177">
        <v>16</v>
      </c>
      <c r="P29" s="177">
        <v>12</v>
      </c>
      <c r="Q29" s="177">
        <v>23</v>
      </c>
      <c r="R29" s="177">
        <v>13</v>
      </c>
      <c r="S29" s="177">
        <v>12</v>
      </c>
      <c r="T29" s="177">
        <v>18</v>
      </c>
      <c r="U29" s="177">
        <v>17</v>
      </c>
      <c r="V29" s="177">
        <v>15</v>
      </c>
    </row>
    <row r="30" spans="1:22" x14ac:dyDescent="0.2">
      <c r="A30" s="158">
        <v>22</v>
      </c>
      <c r="B30" s="171" t="s">
        <v>533</v>
      </c>
      <c r="C30" s="174">
        <v>80</v>
      </c>
      <c r="D30" s="176">
        <v>35</v>
      </c>
      <c r="E30" s="176">
        <v>80</v>
      </c>
      <c r="F30" s="176">
        <v>35</v>
      </c>
      <c r="G30" s="177">
        <v>11</v>
      </c>
      <c r="H30" s="177">
        <v>15</v>
      </c>
      <c r="I30" s="177">
        <v>13</v>
      </c>
      <c r="J30" s="177">
        <v>18</v>
      </c>
      <c r="K30" s="177">
        <v>12</v>
      </c>
      <c r="L30" s="177">
        <v>10</v>
      </c>
      <c r="M30" s="177">
        <v>14</v>
      </c>
      <c r="N30" s="177">
        <v>14</v>
      </c>
      <c r="O30" s="177">
        <v>18</v>
      </c>
      <c r="P30" s="177">
        <v>10</v>
      </c>
      <c r="Q30" s="177">
        <v>13</v>
      </c>
      <c r="R30" s="177">
        <v>10</v>
      </c>
      <c r="S30" s="177">
        <v>9</v>
      </c>
      <c r="T30" s="177">
        <v>15</v>
      </c>
      <c r="U30" s="177">
        <v>9</v>
      </c>
      <c r="V30" s="177">
        <v>15</v>
      </c>
    </row>
    <row r="31" spans="1:22" x14ac:dyDescent="0.2">
      <c r="A31" s="158">
        <v>23</v>
      </c>
      <c r="B31" s="171" t="s">
        <v>534</v>
      </c>
      <c r="C31" s="174">
        <v>115</v>
      </c>
      <c r="D31" s="176">
        <v>35</v>
      </c>
      <c r="E31" s="176">
        <v>35</v>
      </c>
      <c r="F31" s="176">
        <v>35</v>
      </c>
      <c r="G31" s="177">
        <v>9</v>
      </c>
      <c r="H31" s="177">
        <v>14</v>
      </c>
      <c r="I31" s="177">
        <v>12</v>
      </c>
      <c r="J31" s="177">
        <v>16</v>
      </c>
      <c r="K31" s="177">
        <v>16</v>
      </c>
      <c r="L31" s="177">
        <v>11</v>
      </c>
      <c r="M31" s="177">
        <v>13</v>
      </c>
      <c r="N31" s="177">
        <v>14</v>
      </c>
      <c r="O31" s="177">
        <v>16</v>
      </c>
      <c r="P31" s="177">
        <v>13</v>
      </c>
      <c r="Q31" s="177">
        <v>16</v>
      </c>
      <c r="R31" s="177">
        <v>13</v>
      </c>
      <c r="S31" s="177">
        <v>15</v>
      </c>
      <c r="T31" s="177">
        <v>13</v>
      </c>
      <c r="U31" s="177">
        <v>14</v>
      </c>
      <c r="V31" s="177">
        <v>16</v>
      </c>
    </row>
    <row r="32" spans="1:22" x14ac:dyDescent="0.2">
      <c r="A32" s="158">
        <v>24</v>
      </c>
      <c r="B32" s="171" t="s">
        <v>535</v>
      </c>
      <c r="C32" s="174">
        <v>80</v>
      </c>
      <c r="D32" s="176">
        <v>65</v>
      </c>
      <c r="E32" s="176">
        <v>80</v>
      </c>
      <c r="F32" s="176">
        <v>80</v>
      </c>
      <c r="G32" s="177">
        <v>7</v>
      </c>
      <c r="H32" s="177">
        <v>12</v>
      </c>
      <c r="I32" s="177">
        <v>17</v>
      </c>
      <c r="J32" s="177">
        <v>14</v>
      </c>
      <c r="K32" s="177">
        <v>12</v>
      </c>
      <c r="L32" s="177">
        <v>13</v>
      </c>
      <c r="M32" s="177">
        <v>15</v>
      </c>
      <c r="N32" s="177">
        <v>13</v>
      </c>
      <c r="O32" s="177">
        <v>16</v>
      </c>
      <c r="P32" s="177">
        <v>15</v>
      </c>
      <c r="Q32" s="177">
        <v>14</v>
      </c>
      <c r="R32" s="177">
        <v>15</v>
      </c>
      <c r="S32" s="177">
        <v>12</v>
      </c>
      <c r="T32" s="177">
        <v>14</v>
      </c>
      <c r="U32" s="177">
        <v>12</v>
      </c>
      <c r="V32" s="177">
        <v>15</v>
      </c>
    </row>
    <row r="33" spans="1:22" x14ac:dyDescent="0.2">
      <c r="A33" s="158">
        <v>25</v>
      </c>
      <c r="B33" s="171" t="s">
        <v>536</v>
      </c>
      <c r="C33" s="174">
        <v>80</v>
      </c>
      <c r="D33" s="176">
        <v>65</v>
      </c>
      <c r="E33" s="176">
        <v>80</v>
      </c>
      <c r="F33" s="176">
        <v>80</v>
      </c>
      <c r="G33" s="177">
        <v>10</v>
      </c>
      <c r="H33" s="177">
        <v>12</v>
      </c>
      <c r="I33" s="177">
        <v>13</v>
      </c>
      <c r="J33" s="177">
        <v>15</v>
      </c>
      <c r="K33" s="177">
        <v>16</v>
      </c>
      <c r="L33" s="177">
        <v>13</v>
      </c>
      <c r="M33" s="177">
        <v>11</v>
      </c>
      <c r="N33" s="177">
        <v>15</v>
      </c>
      <c r="O33" s="177">
        <v>14</v>
      </c>
      <c r="P33" s="177">
        <v>19</v>
      </c>
      <c r="Q33" s="177">
        <v>15</v>
      </c>
      <c r="R33" s="177">
        <v>19</v>
      </c>
      <c r="S33" s="177">
        <v>12</v>
      </c>
      <c r="T33" s="177">
        <v>8</v>
      </c>
      <c r="U33" s="177">
        <v>12</v>
      </c>
      <c r="V33" s="177">
        <v>19</v>
      </c>
    </row>
    <row r="34" spans="1:22" x14ac:dyDescent="0.2">
      <c r="A34" s="158">
        <v>26</v>
      </c>
      <c r="B34" s="171" t="s">
        <v>537</v>
      </c>
      <c r="C34" s="174">
        <v>130</v>
      </c>
      <c r="D34" s="176">
        <v>65</v>
      </c>
      <c r="E34" s="176">
        <v>80</v>
      </c>
      <c r="F34" s="176">
        <v>80</v>
      </c>
      <c r="G34" s="177">
        <v>10</v>
      </c>
      <c r="H34" s="177">
        <v>14</v>
      </c>
      <c r="I34" s="177">
        <v>4</v>
      </c>
      <c r="J34" s="177">
        <v>12</v>
      </c>
      <c r="K34" s="177">
        <v>20</v>
      </c>
      <c r="L34" s="177">
        <v>12</v>
      </c>
      <c r="M34" s="177">
        <v>12</v>
      </c>
      <c r="N34" s="177">
        <v>22</v>
      </c>
      <c r="O34" s="177">
        <v>14</v>
      </c>
      <c r="P34" s="177">
        <v>16</v>
      </c>
      <c r="Q34" s="177">
        <v>21</v>
      </c>
      <c r="R34" s="177">
        <v>22</v>
      </c>
      <c r="S34" s="177">
        <v>10</v>
      </c>
      <c r="T34" s="177">
        <v>9</v>
      </c>
      <c r="U34" s="177">
        <v>4</v>
      </c>
      <c r="V34" s="177">
        <v>18</v>
      </c>
    </row>
    <row r="35" spans="1:22" x14ac:dyDescent="0.2">
      <c r="A35" s="158">
        <v>27</v>
      </c>
      <c r="B35" s="171" t="s">
        <v>538</v>
      </c>
      <c r="C35" s="174">
        <v>85</v>
      </c>
      <c r="D35" s="176">
        <v>35</v>
      </c>
      <c r="E35" s="176">
        <v>35</v>
      </c>
      <c r="F35" s="176">
        <v>35</v>
      </c>
      <c r="G35" s="177">
        <v>8</v>
      </c>
      <c r="H35" s="177">
        <v>19</v>
      </c>
      <c r="I35" s="177">
        <v>9</v>
      </c>
      <c r="J35" s="177">
        <v>14</v>
      </c>
      <c r="K35" s="177">
        <v>14</v>
      </c>
      <c r="L35" s="177">
        <v>11</v>
      </c>
      <c r="M35" s="177">
        <v>16</v>
      </c>
      <c r="N35" s="177">
        <v>13</v>
      </c>
      <c r="O35" s="177">
        <v>19</v>
      </c>
      <c r="P35" s="177">
        <v>6</v>
      </c>
      <c r="Q35" s="177">
        <v>17</v>
      </c>
      <c r="R35" s="177">
        <v>16</v>
      </c>
      <c r="S35" s="177">
        <v>10</v>
      </c>
      <c r="T35" s="177">
        <v>12</v>
      </c>
      <c r="U35" s="177">
        <v>16</v>
      </c>
      <c r="V35" s="177">
        <v>17</v>
      </c>
    </row>
    <row r="36" spans="1:22" x14ac:dyDescent="0.2">
      <c r="A36" s="158">
        <v>28</v>
      </c>
      <c r="B36" s="171" t="s">
        <v>539</v>
      </c>
      <c r="C36" s="174">
        <v>125</v>
      </c>
      <c r="D36" s="176">
        <v>65</v>
      </c>
      <c r="E36" s="176">
        <v>80</v>
      </c>
      <c r="F36" s="176">
        <v>80</v>
      </c>
      <c r="G36" s="177">
        <v>9</v>
      </c>
      <c r="H36" s="177">
        <v>14</v>
      </c>
      <c r="I36" s="177">
        <v>17</v>
      </c>
      <c r="J36" s="177">
        <v>17</v>
      </c>
      <c r="K36" s="177">
        <v>15</v>
      </c>
      <c r="L36" s="177">
        <v>14</v>
      </c>
      <c r="M36" s="177">
        <v>14</v>
      </c>
      <c r="N36" s="177">
        <v>15</v>
      </c>
      <c r="O36" s="177">
        <v>10</v>
      </c>
      <c r="P36" s="177">
        <v>12</v>
      </c>
      <c r="Q36" s="177">
        <v>14</v>
      </c>
      <c r="R36" s="177">
        <v>15</v>
      </c>
      <c r="S36" s="177">
        <v>11</v>
      </c>
      <c r="T36" s="177">
        <v>11</v>
      </c>
      <c r="U36" s="177">
        <v>15</v>
      </c>
      <c r="V36" s="177">
        <v>11</v>
      </c>
    </row>
    <row r="37" spans="1:22" x14ac:dyDescent="0.2">
      <c r="A37" s="158">
        <v>29</v>
      </c>
      <c r="B37" s="171" t="s">
        <v>540</v>
      </c>
      <c r="C37" s="174">
        <v>80</v>
      </c>
      <c r="D37" s="176">
        <v>35</v>
      </c>
      <c r="E37" s="176">
        <v>35</v>
      </c>
      <c r="F37" s="176">
        <v>35</v>
      </c>
      <c r="G37" s="177">
        <v>7</v>
      </c>
      <c r="H37" s="177">
        <v>12</v>
      </c>
      <c r="I37" s="177">
        <v>12</v>
      </c>
      <c r="J37" s="177">
        <v>16</v>
      </c>
      <c r="K37" s="177">
        <v>14</v>
      </c>
      <c r="L37" s="177">
        <v>16</v>
      </c>
      <c r="M37" s="177">
        <v>18</v>
      </c>
      <c r="N37" s="177">
        <v>12</v>
      </c>
      <c r="O37" s="177">
        <v>15</v>
      </c>
      <c r="P37" s="177">
        <v>12</v>
      </c>
      <c r="Q37" s="177">
        <v>16</v>
      </c>
      <c r="R37" s="177">
        <v>11</v>
      </c>
      <c r="S37" s="177">
        <v>11</v>
      </c>
      <c r="T37" s="177">
        <v>12</v>
      </c>
      <c r="U37" s="177">
        <v>16</v>
      </c>
      <c r="V37" s="177">
        <v>15</v>
      </c>
    </row>
    <row r="38" spans="1:22" x14ac:dyDescent="0.2">
      <c r="A38" s="158"/>
      <c r="B38" s="171"/>
      <c r="C38" s="174"/>
      <c r="D38" s="176"/>
      <c r="E38" s="176"/>
      <c r="F38" s="176"/>
      <c r="G38" s="177"/>
      <c r="H38" s="177"/>
      <c r="I38" s="177"/>
      <c r="J38" s="177"/>
      <c r="K38" s="177"/>
      <c r="L38" s="177"/>
      <c r="M38" s="177"/>
      <c r="N38" s="177"/>
      <c r="O38" s="177"/>
      <c r="P38" s="177"/>
      <c r="Q38" s="177"/>
      <c r="R38" s="177"/>
      <c r="S38" s="177"/>
      <c r="T38" s="177"/>
      <c r="U38" s="177"/>
      <c r="V38" s="177"/>
    </row>
    <row r="39" spans="1:22" x14ac:dyDescent="0.2">
      <c r="A39" s="158"/>
      <c r="B39" s="171"/>
      <c r="C39" s="174"/>
      <c r="D39" s="176"/>
      <c r="E39" s="176"/>
      <c r="F39" s="176"/>
      <c r="G39" s="177"/>
      <c r="H39" s="177"/>
      <c r="I39" s="177"/>
      <c r="J39" s="177"/>
      <c r="K39" s="177"/>
      <c r="L39" s="177"/>
      <c r="M39" s="177"/>
      <c r="N39" s="177"/>
      <c r="O39" s="177"/>
      <c r="P39" s="177"/>
      <c r="Q39" s="177"/>
      <c r="R39" s="177"/>
      <c r="S39" s="177"/>
      <c r="T39" s="177"/>
      <c r="U39" s="177"/>
      <c r="V39" s="177"/>
    </row>
  </sheetData>
  <mergeCells count="9">
    <mergeCell ref="A3:V3"/>
    <mergeCell ref="A4:V4"/>
    <mergeCell ref="A5:V5"/>
    <mergeCell ref="A6:V6"/>
    <mergeCell ref="A7:A8"/>
    <mergeCell ref="B7:B8"/>
    <mergeCell ref="C7:C8"/>
    <mergeCell ref="D7:F7"/>
    <mergeCell ref="G7:V7"/>
  </mergeCells>
  <pageMargins left="0.45" right="0.2" top="0.5" bottom="0.5" header="0.3" footer="0.3"/>
  <pageSetup paperSize="9" scale="85"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C3B20-2988-4960-B265-3E2433056A97}">
  <dimension ref="A3:AI39"/>
  <sheetViews>
    <sheetView view="pageBreakPreview" zoomScaleNormal="100" zoomScaleSheetLayoutView="100" workbookViewId="0">
      <selection activeCell="D9" sqref="D9:F32"/>
    </sheetView>
  </sheetViews>
  <sheetFormatPr defaultColWidth="11.43359375" defaultRowHeight="15" x14ac:dyDescent="0.2"/>
  <cols>
    <col min="1" max="1" width="5.24609375" customWidth="1"/>
    <col min="2" max="2" width="48.42578125" bestFit="1" customWidth="1"/>
    <col min="3" max="3" width="7.80078125" customWidth="1"/>
    <col min="4" max="22" width="5.91796875" customWidth="1"/>
  </cols>
  <sheetData>
    <row r="3" spans="1:35" ht="21.75" x14ac:dyDescent="0.3">
      <c r="A3" s="181" t="s">
        <v>420</v>
      </c>
      <c r="B3" s="181"/>
      <c r="C3" s="181"/>
      <c r="D3" s="181"/>
      <c r="E3" s="181"/>
      <c r="F3" s="181"/>
      <c r="G3" s="181"/>
      <c r="H3" s="181"/>
      <c r="I3" s="181"/>
      <c r="J3" s="181"/>
      <c r="K3" s="181"/>
      <c r="L3" s="181"/>
      <c r="M3" s="181"/>
      <c r="N3" s="181"/>
      <c r="O3" s="181"/>
      <c r="P3" s="181"/>
      <c r="Q3" s="181"/>
      <c r="R3" s="181"/>
      <c r="S3" s="181"/>
      <c r="T3" s="181"/>
      <c r="U3" s="181"/>
      <c r="V3" s="181"/>
      <c r="W3" s="160"/>
      <c r="X3" s="160"/>
      <c r="Y3" s="160"/>
      <c r="Z3" s="160"/>
      <c r="AA3" s="160"/>
      <c r="AB3" s="160"/>
      <c r="AC3" s="160"/>
      <c r="AD3" s="160"/>
      <c r="AE3" s="160"/>
      <c r="AF3" s="160"/>
      <c r="AG3" s="160"/>
      <c r="AH3" s="160"/>
      <c r="AI3" s="160"/>
    </row>
    <row r="4" spans="1:35" ht="18.75" x14ac:dyDescent="0.25">
      <c r="A4" s="182" t="s">
        <v>421</v>
      </c>
      <c r="B4" s="182"/>
      <c r="C4" s="182"/>
      <c r="D4" s="182"/>
      <c r="E4" s="182"/>
      <c r="F4" s="182"/>
      <c r="G4" s="182"/>
      <c r="H4" s="182"/>
      <c r="I4" s="182"/>
      <c r="J4" s="182"/>
      <c r="K4" s="182"/>
      <c r="L4" s="182"/>
      <c r="M4" s="182"/>
      <c r="N4" s="182"/>
      <c r="O4" s="182"/>
      <c r="P4" s="182"/>
      <c r="Q4" s="182"/>
      <c r="R4" s="182"/>
      <c r="S4" s="182"/>
      <c r="T4" s="182"/>
      <c r="U4" s="182"/>
      <c r="V4" s="182"/>
      <c r="W4" s="161"/>
      <c r="X4" s="161"/>
      <c r="Y4" s="161"/>
      <c r="Z4" s="161"/>
      <c r="AA4" s="161"/>
      <c r="AB4" s="161"/>
      <c r="AC4" s="161"/>
      <c r="AD4" s="161"/>
      <c r="AE4" s="161"/>
      <c r="AF4" s="161"/>
      <c r="AG4" s="161"/>
      <c r="AH4" s="161"/>
      <c r="AI4" s="161"/>
    </row>
    <row r="5" spans="1:35" ht="18.75" x14ac:dyDescent="0.25">
      <c r="A5" s="182" t="s">
        <v>545</v>
      </c>
      <c r="B5" s="182"/>
      <c r="C5" s="182"/>
      <c r="D5" s="182"/>
      <c r="E5" s="182"/>
      <c r="F5" s="182"/>
      <c r="G5" s="182"/>
      <c r="H5" s="182"/>
      <c r="I5" s="182"/>
      <c r="J5" s="182"/>
      <c r="K5" s="182"/>
      <c r="L5" s="182"/>
      <c r="M5" s="182"/>
      <c r="N5" s="182"/>
      <c r="O5" s="182"/>
      <c r="P5" s="182"/>
      <c r="Q5" s="182"/>
      <c r="R5" s="182"/>
      <c r="S5" s="182"/>
      <c r="T5" s="182"/>
      <c r="U5" s="182"/>
      <c r="V5" s="182"/>
      <c r="W5" s="161"/>
      <c r="X5" s="161"/>
      <c r="Y5" s="161"/>
      <c r="Z5" s="161"/>
      <c r="AA5" s="161"/>
      <c r="AB5" s="161"/>
      <c r="AC5" s="161"/>
      <c r="AD5" s="161"/>
      <c r="AE5" s="161"/>
      <c r="AF5" s="161"/>
      <c r="AG5" s="161"/>
      <c r="AH5" s="161"/>
      <c r="AI5" s="161"/>
    </row>
    <row r="6" spans="1:35" x14ac:dyDescent="0.2">
      <c r="A6" s="186"/>
      <c r="B6" s="186"/>
      <c r="C6" s="186"/>
      <c r="D6" s="186"/>
      <c r="E6" s="186"/>
      <c r="F6" s="186"/>
      <c r="G6" s="186"/>
      <c r="H6" s="186"/>
      <c r="I6" s="186"/>
      <c r="J6" s="186"/>
      <c r="K6" s="186"/>
      <c r="L6" s="186"/>
      <c r="M6" s="186"/>
      <c r="N6" s="186"/>
      <c r="O6" s="186"/>
      <c r="P6" s="186"/>
      <c r="Q6" s="186"/>
      <c r="R6" s="186"/>
      <c r="S6" s="186"/>
      <c r="T6" s="186"/>
      <c r="U6" s="186"/>
      <c r="V6" s="186"/>
    </row>
    <row r="7" spans="1:35" x14ac:dyDescent="0.2">
      <c r="A7" s="187" t="s">
        <v>0</v>
      </c>
      <c r="B7" s="187" t="s">
        <v>379</v>
      </c>
      <c r="C7" s="187" t="s">
        <v>2</v>
      </c>
      <c r="D7" s="187" t="s">
        <v>417</v>
      </c>
      <c r="E7" s="187"/>
      <c r="F7" s="187"/>
      <c r="G7" s="183" t="s">
        <v>418</v>
      </c>
      <c r="H7" s="184"/>
      <c r="I7" s="184"/>
      <c r="J7" s="184"/>
      <c r="K7" s="184"/>
      <c r="L7" s="184"/>
      <c r="M7" s="184"/>
      <c r="N7" s="184"/>
      <c r="O7" s="184"/>
      <c r="P7" s="184"/>
      <c r="Q7" s="184"/>
      <c r="R7" s="184"/>
      <c r="S7" s="184"/>
      <c r="T7" s="184"/>
      <c r="U7" s="184"/>
      <c r="V7" s="185"/>
    </row>
    <row r="8" spans="1:35" x14ac:dyDescent="0.2">
      <c r="A8" s="187"/>
      <c r="B8" s="187"/>
      <c r="C8" s="187"/>
      <c r="D8" s="162">
        <v>1</v>
      </c>
      <c r="E8" s="162">
        <v>2</v>
      </c>
      <c r="F8" s="162">
        <v>3</v>
      </c>
      <c r="G8" s="162">
        <v>1</v>
      </c>
      <c r="H8" s="162">
        <v>2</v>
      </c>
      <c r="I8" s="162">
        <v>3</v>
      </c>
      <c r="J8" s="162">
        <v>4</v>
      </c>
      <c r="K8" s="162">
        <v>5</v>
      </c>
      <c r="L8" s="162">
        <v>6</v>
      </c>
      <c r="M8" s="162">
        <v>7</v>
      </c>
      <c r="N8" s="162">
        <v>8</v>
      </c>
      <c r="O8" s="162">
        <v>9</v>
      </c>
      <c r="P8" s="162">
        <v>10</v>
      </c>
      <c r="Q8" s="162">
        <v>11</v>
      </c>
      <c r="R8" s="162">
        <v>12</v>
      </c>
      <c r="S8" s="162">
        <v>13</v>
      </c>
      <c r="T8" s="162">
        <v>14</v>
      </c>
      <c r="U8" s="162">
        <v>15</v>
      </c>
      <c r="V8" s="162">
        <v>16</v>
      </c>
    </row>
    <row r="9" spans="1:35" x14ac:dyDescent="0.2">
      <c r="A9" s="158">
        <v>1</v>
      </c>
      <c r="B9" s="171" t="s">
        <v>546</v>
      </c>
      <c r="C9" s="174">
        <v>115</v>
      </c>
      <c r="D9" s="176">
        <v>35</v>
      </c>
      <c r="E9" s="176">
        <v>80</v>
      </c>
      <c r="F9" s="176">
        <v>35</v>
      </c>
      <c r="G9" s="177">
        <v>12</v>
      </c>
      <c r="H9" s="177">
        <v>16</v>
      </c>
      <c r="I9" s="177">
        <v>14</v>
      </c>
      <c r="J9" s="177">
        <v>13</v>
      </c>
      <c r="K9" s="177">
        <v>15</v>
      </c>
      <c r="L9" s="177">
        <v>8</v>
      </c>
      <c r="M9" s="177">
        <v>12</v>
      </c>
      <c r="N9" s="177">
        <v>15</v>
      </c>
      <c r="O9" s="177">
        <v>12</v>
      </c>
      <c r="P9" s="177">
        <v>11</v>
      </c>
      <c r="Q9" s="177">
        <v>17</v>
      </c>
      <c r="R9" s="177">
        <v>15</v>
      </c>
      <c r="S9" s="177">
        <v>19</v>
      </c>
      <c r="T9" s="177">
        <v>12</v>
      </c>
      <c r="U9" s="177">
        <v>5</v>
      </c>
      <c r="V9" s="177">
        <v>9</v>
      </c>
    </row>
    <row r="10" spans="1:35" x14ac:dyDescent="0.2">
      <c r="A10" s="158">
        <v>2</v>
      </c>
      <c r="B10" s="171" t="s">
        <v>547</v>
      </c>
      <c r="C10" s="174">
        <v>119</v>
      </c>
      <c r="D10" s="176">
        <v>65</v>
      </c>
      <c r="E10" s="176">
        <v>80</v>
      </c>
      <c r="F10" s="176">
        <v>65</v>
      </c>
      <c r="G10" s="177">
        <v>10</v>
      </c>
      <c r="H10" s="177">
        <v>14</v>
      </c>
      <c r="I10" s="177">
        <v>8</v>
      </c>
      <c r="J10" s="177">
        <v>9</v>
      </c>
      <c r="K10" s="177">
        <v>10</v>
      </c>
      <c r="L10" s="177">
        <v>7</v>
      </c>
      <c r="M10" s="177">
        <v>17</v>
      </c>
      <c r="N10" s="177">
        <v>18</v>
      </c>
      <c r="O10" s="177">
        <v>13</v>
      </c>
      <c r="P10" s="177">
        <v>8</v>
      </c>
      <c r="Q10" s="177">
        <v>19</v>
      </c>
      <c r="R10" s="177">
        <v>22</v>
      </c>
      <c r="S10" s="177">
        <v>21</v>
      </c>
      <c r="T10" s="177">
        <v>18</v>
      </c>
      <c r="U10" s="177">
        <v>3</v>
      </c>
      <c r="V10" s="177">
        <v>10</v>
      </c>
    </row>
    <row r="11" spans="1:35" x14ac:dyDescent="0.2">
      <c r="A11" s="158">
        <v>3</v>
      </c>
      <c r="B11" s="171" t="s">
        <v>548</v>
      </c>
      <c r="C11" s="174">
        <v>110</v>
      </c>
      <c r="D11" s="176">
        <v>35</v>
      </c>
      <c r="E11" s="176">
        <v>80</v>
      </c>
      <c r="F11" s="176">
        <v>35</v>
      </c>
      <c r="G11" s="177">
        <v>10</v>
      </c>
      <c r="H11" s="177">
        <v>14</v>
      </c>
      <c r="I11" s="177">
        <v>16</v>
      </c>
      <c r="J11" s="177">
        <v>11</v>
      </c>
      <c r="K11" s="177">
        <v>10</v>
      </c>
      <c r="L11" s="177">
        <v>9</v>
      </c>
      <c r="M11" s="177">
        <v>22</v>
      </c>
      <c r="N11" s="177">
        <v>21</v>
      </c>
      <c r="O11" s="177">
        <v>16</v>
      </c>
      <c r="P11" s="177">
        <v>6</v>
      </c>
      <c r="Q11" s="177">
        <v>18</v>
      </c>
      <c r="R11" s="177">
        <v>16</v>
      </c>
      <c r="S11" s="177">
        <v>12</v>
      </c>
      <c r="T11" s="177">
        <v>17</v>
      </c>
      <c r="U11" s="177">
        <v>1</v>
      </c>
      <c r="V11" s="177">
        <v>6</v>
      </c>
    </row>
    <row r="12" spans="1:35" x14ac:dyDescent="0.2">
      <c r="A12" s="158">
        <v>4</v>
      </c>
      <c r="B12" s="171" t="s">
        <v>549</v>
      </c>
      <c r="C12" s="174">
        <v>105</v>
      </c>
      <c r="D12" s="176">
        <v>35</v>
      </c>
      <c r="E12" s="176">
        <v>80</v>
      </c>
      <c r="F12" s="176">
        <v>35</v>
      </c>
      <c r="G12" s="177">
        <v>11</v>
      </c>
      <c r="H12" s="177">
        <v>12</v>
      </c>
      <c r="I12" s="177">
        <v>11</v>
      </c>
      <c r="J12" s="177">
        <v>14</v>
      </c>
      <c r="K12" s="177">
        <v>12</v>
      </c>
      <c r="L12" s="177">
        <v>10</v>
      </c>
      <c r="M12" s="177">
        <v>19</v>
      </c>
      <c r="N12" s="177">
        <v>13</v>
      </c>
      <c r="O12" s="177">
        <v>14</v>
      </c>
      <c r="P12" s="177">
        <v>10</v>
      </c>
      <c r="Q12" s="177">
        <v>19</v>
      </c>
      <c r="R12" s="177">
        <v>16</v>
      </c>
      <c r="S12" s="177">
        <v>15</v>
      </c>
      <c r="T12" s="177">
        <v>11</v>
      </c>
      <c r="U12" s="177">
        <v>0</v>
      </c>
      <c r="V12" s="177">
        <v>18</v>
      </c>
    </row>
    <row r="13" spans="1:35" x14ac:dyDescent="0.2">
      <c r="A13" s="158">
        <v>5</v>
      </c>
      <c r="B13" s="171" t="s">
        <v>550</v>
      </c>
      <c r="C13" s="174">
        <v>85</v>
      </c>
      <c r="D13" s="176">
        <v>35</v>
      </c>
      <c r="E13" s="176">
        <v>35</v>
      </c>
      <c r="F13" s="176">
        <v>35</v>
      </c>
      <c r="G13" s="177">
        <v>12</v>
      </c>
      <c r="H13" s="177">
        <v>14</v>
      </c>
      <c r="I13" s="177">
        <v>9</v>
      </c>
      <c r="J13" s="177">
        <v>13</v>
      </c>
      <c r="K13" s="177">
        <v>7</v>
      </c>
      <c r="L13" s="177">
        <v>7</v>
      </c>
      <c r="M13" s="177">
        <v>21</v>
      </c>
      <c r="N13" s="177">
        <v>22</v>
      </c>
      <c r="O13" s="177">
        <v>16</v>
      </c>
      <c r="P13" s="177">
        <v>15</v>
      </c>
      <c r="Q13" s="177">
        <v>15</v>
      </c>
      <c r="R13" s="177">
        <v>19</v>
      </c>
      <c r="S13" s="177">
        <v>13</v>
      </c>
      <c r="T13" s="177">
        <v>14</v>
      </c>
      <c r="U13" s="177">
        <v>2</v>
      </c>
      <c r="V13" s="177">
        <v>8</v>
      </c>
    </row>
    <row r="14" spans="1:35" x14ac:dyDescent="0.2">
      <c r="A14" s="158">
        <v>6</v>
      </c>
      <c r="B14" s="171" t="s">
        <v>551</v>
      </c>
      <c r="C14" s="174">
        <v>89</v>
      </c>
      <c r="D14" s="176">
        <v>35</v>
      </c>
      <c r="E14" s="176">
        <v>80</v>
      </c>
      <c r="F14" s="176">
        <v>35</v>
      </c>
      <c r="G14" s="177">
        <v>12</v>
      </c>
      <c r="H14" s="177">
        <v>13</v>
      </c>
      <c r="I14" s="177">
        <v>11</v>
      </c>
      <c r="J14" s="177">
        <v>11</v>
      </c>
      <c r="K14" s="177">
        <v>11</v>
      </c>
      <c r="L14" s="177">
        <v>9</v>
      </c>
      <c r="M14" s="177">
        <v>16</v>
      </c>
      <c r="N14" s="177">
        <v>13</v>
      </c>
      <c r="O14" s="177">
        <v>18</v>
      </c>
      <c r="P14" s="177">
        <v>11</v>
      </c>
      <c r="Q14" s="177">
        <v>20</v>
      </c>
      <c r="R14" s="177">
        <v>23</v>
      </c>
      <c r="S14" s="177">
        <v>13</v>
      </c>
      <c r="T14" s="177">
        <v>16</v>
      </c>
      <c r="U14" s="177">
        <v>4</v>
      </c>
      <c r="V14" s="177">
        <v>5</v>
      </c>
    </row>
    <row r="15" spans="1:35" x14ac:dyDescent="0.2">
      <c r="A15" s="158">
        <v>7</v>
      </c>
      <c r="B15" s="171" t="s">
        <v>552</v>
      </c>
      <c r="C15" s="174">
        <v>105</v>
      </c>
      <c r="D15" s="176">
        <v>35</v>
      </c>
      <c r="E15" s="176">
        <v>80</v>
      </c>
      <c r="F15" s="176">
        <v>35</v>
      </c>
      <c r="G15" s="177">
        <v>15</v>
      </c>
      <c r="H15" s="177">
        <v>9</v>
      </c>
      <c r="I15" s="177">
        <v>7</v>
      </c>
      <c r="J15" s="177">
        <v>9</v>
      </c>
      <c r="K15" s="177">
        <v>11</v>
      </c>
      <c r="L15" s="177">
        <v>12</v>
      </c>
      <c r="M15" s="177">
        <v>10</v>
      </c>
      <c r="N15" s="177">
        <v>19</v>
      </c>
      <c r="O15" s="177">
        <v>10</v>
      </c>
      <c r="P15" s="177">
        <v>17</v>
      </c>
      <c r="Q15" s="177">
        <v>20</v>
      </c>
      <c r="R15" s="177">
        <v>15</v>
      </c>
      <c r="S15" s="177">
        <v>13</v>
      </c>
      <c r="T15" s="177">
        <v>11</v>
      </c>
      <c r="U15" s="177">
        <v>9</v>
      </c>
      <c r="V15" s="177">
        <v>23</v>
      </c>
    </row>
    <row r="16" spans="1:35" x14ac:dyDescent="0.2">
      <c r="A16" s="158">
        <v>8</v>
      </c>
      <c r="B16" s="171" t="s">
        <v>553</v>
      </c>
      <c r="C16" s="174">
        <v>80</v>
      </c>
      <c r="D16" s="176">
        <v>35</v>
      </c>
      <c r="E16" s="176">
        <v>35</v>
      </c>
      <c r="F16" s="176">
        <v>35</v>
      </c>
      <c r="G16" s="177">
        <v>11</v>
      </c>
      <c r="H16" s="177">
        <v>11</v>
      </c>
      <c r="I16" s="177">
        <v>9</v>
      </c>
      <c r="J16" s="177">
        <v>10</v>
      </c>
      <c r="K16" s="177">
        <v>8</v>
      </c>
      <c r="L16" s="177">
        <v>9</v>
      </c>
      <c r="M16" s="177">
        <v>17</v>
      </c>
      <c r="N16" s="177">
        <v>17</v>
      </c>
      <c r="O16" s="177">
        <v>23</v>
      </c>
      <c r="P16" s="177">
        <v>10</v>
      </c>
      <c r="Q16" s="177">
        <v>16</v>
      </c>
      <c r="R16" s="177">
        <v>13</v>
      </c>
      <c r="S16" s="177">
        <v>12</v>
      </c>
      <c r="T16" s="177">
        <v>17</v>
      </c>
      <c r="U16" s="177">
        <v>12</v>
      </c>
      <c r="V16" s="177">
        <v>11</v>
      </c>
    </row>
    <row r="17" spans="1:22" x14ac:dyDescent="0.2">
      <c r="A17" s="158">
        <v>9</v>
      </c>
      <c r="B17" s="171" t="s">
        <v>554</v>
      </c>
      <c r="C17" s="174">
        <v>85</v>
      </c>
      <c r="D17" s="176">
        <v>35</v>
      </c>
      <c r="E17" s="176">
        <v>80</v>
      </c>
      <c r="F17" s="176">
        <v>35</v>
      </c>
      <c r="G17" s="177">
        <v>9</v>
      </c>
      <c r="H17" s="177">
        <v>15</v>
      </c>
      <c r="I17" s="177">
        <v>12</v>
      </c>
      <c r="J17" s="177">
        <v>14</v>
      </c>
      <c r="K17" s="177">
        <v>10</v>
      </c>
      <c r="L17" s="177">
        <v>6</v>
      </c>
      <c r="M17" s="177">
        <v>14</v>
      </c>
      <c r="N17" s="177">
        <v>15</v>
      </c>
      <c r="O17" s="177">
        <v>11</v>
      </c>
      <c r="P17" s="177">
        <v>7</v>
      </c>
      <c r="Q17" s="177">
        <v>21</v>
      </c>
      <c r="R17" s="177">
        <v>15</v>
      </c>
      <c r="S17" s="177">
        <v>17</v>
      </c>
      <c r="T17" s="177">
        <v>19</v>
      </c>
      <c r="U17" s="177">
        <v>5</v>
      </c>
      <c r="V17" s="177">
        <v>14</v>
      </c>
    </row>
    <row r="18" spans="1:22" x14ac:dyDescent="0.2">
      <c r="A18" s="158">
        <v>10</v>
      </c>
      <c r="B18" s="171" t="s">
        <v>555</v>
      </c>
      <c r="C18" s="174">
        <v>115</v>
      </c>
      <c r="D18" s="176">
        <v>65</v>
      </c>
      <c r="E18" s="176">
        <v>80</v>
      </c>
      <c r="F18" s="176">
        <v>65</v>
      </c>
      <c r="G18" s="177">
        <v>11</v>
      </c>
      <c r="H18" s="177">
        <v>11</v>
      </c>
      <c r="I18" s="177">
        <v>12</v>
      </c>
      <c r="J18" s="177">
        <v>7</v>
      </c>
      <c r="K18" s="177">
        <v>7</v>
      </c>
      <c r="L18" s="177">
        <v>14</v>
      </c>
      <c r="M18" s="177">
        <v>17</v>
      </c>
      <c r="N18" s="177">
        <v>16</v>
      </c>
      <c r="O18" s="177">
        <v>22</v>
      </c>
      <c r="P18" s="177">
        <v>15</v>
      </c>
      <c r="Q18" s="177">
        <v>17</v>
      </c>
      <c r="R18" s="177">
        <v>9</v>
      </c>
      <c r="S18" s="177">
        <v>12</v>
      </c>
      <c r="T18" s="177">
        <v>13</v>
      </c>
      <c r="U18" s="177">
        <v>8</v>
      </c>
      <c r="V18" s="177">
        <v>15</v>
      </c>
    </row>
    <row r="19" spans="1:22" x14ac:dyDescent="0.2">
      <c r="A19" s="158">
        <v>11</v>
      </c>
      <c r="B19" s="171" t="s">
        <v>556</v>
      </c>
      <c r="C19" s="174">
        <v>115</v>
      </c>
      <c r="D19" s="176">
        <v>35</v>
      </c>
      <c r="E19" s="176">
        <v>80</v>
      </c>
      <c r="F19" s="176">
        <v>35</v>
      </c>
      <c r="G19" s="177">
        <v>12</v>
      </c>
      <c r="H19" s="177">
        <v>15</v>
      </c>
      <c r="I19" s="177">
        <v>13</v>
      </c>
      <c r="J19" s="177">
        <v>13</v>
      </c>
      <c r="K19" s="177">
        <v>9</v>
      </c>
      <c r="L19" s="177">
        <v>11</v>
      </c>
      <c r="M19" s="177">
        <v>9</v>
      </c>
      <c r="N19" s="177">
        <v>17</v>
      </c>
      <c r="O19" s="177">
        <v>10</v>
      </c>
      <c r="P19" s="177">
        <v>12</v>
      </c>
      <c r="Q19" s="177">
        <v>16</v>
      </c>
      <c r="R19" s="177">
        <v>15</v>
      </c>
      <c r="S19" s="177">
        <v>13</v>
      </c>
      <c r="T19" s="177">
        <v>23</v>
      </c>
      <c r="U19" s="177">
        <v>0</v>
      </c>
      <c r="V19" s="177">
        <v>8</v>
      </c>
    </row>
    <row r="20" spans="1:22" x14ac:dyDescent="0.2">
      <c r="A20" s="158">
        <v>12</v>
      </c>
      <c r="B20" s="171" t="s">
        <v>557</v>
      </c>
      <c r="C20" s="174">
        <v>119</v>
      </c>
      <c r="D20" s="176">
        <v>35</v>
      </c>
      <c r="E20" s="176">
        <v>80</v>
      </c>
      <c r="F20" s="176">
        <v>35</v>
      </c>
      <c r="G20" s="177">
        <v>13</v>
      </c>
      <c r="H20" s="177">
        <v>9</v>
      </c>
      <c r="I20" s="177">
        <v>11</v>
      </c>
      <c r="J20" s="177">
        <v>15</v>
      </c>
      <c r="K20" s="177">
        <v>13</v>
      </c>
      <c r="L20" s="177">
        <v>13</v>
      </c>
      <c r="M20" s="177">
        <v>20</v>
      </c>
      <c r="N20" s="177">
        <v>18</v>
      </c>
      <c r="O20" s="177">
        <v>10</v>
      </c>
      <c r="P20" s="177">
        <v>8</v>
      </c>
      <c r="Q20" s="177">
        <v>21</v>
      </c>
      <c r="R20" s="177">
        <v>7</v>
      </c>
      <c r="S20" s="177">
        <v>22</v>
      </c>
      <c r="T20" s="177">
        <v>11</v>
      </c>
      <c r="U20" s="177">
        <v>3</v>
      </c>
      <c r="V20" s="177">
        <v>14</v>
      </c>
    </row>
    <row r="21" spans="1:22" x14ac:dyDescent="0.2">
      <c r="A21" s="158">
        <v>13</v>
      </c>
      <c r="B21" s="171" t="s">
        <v>558</v>
      </c>
      <c r="C21" s="174">
        <v>89</v>
      </c>
      <c r="D21" s="176">
        <v>35</v>
      </c>
      <c r="E21" s="176">
        <v>35</v>
      </c>
      <c r="F21" s="176">
        <v>35</v>
      </c>
      <c r="G21" s="177">
        <v>8</v>
      </c>
      <c r="H21" s="177">
        <v>13</v>
      </c>
      <c r="I21" s="177">
        <v>14</v>
      </c>
      <c r="J21" s="177">
        <v>12</v>
      </c>
      <c r="K21" s="177">
        <v>12</v>
      </c>
      <c r="L21" s="177">
        <v>8</v>
      </c>
      <c r="M21" s="177">
        <v>12</v>
      </c>
      <c r="N21" s="177">
        <v>14</v>
      </c>
      <c r="O21" s="177">
        <v>14</v>
      </c>
      <c r="P21" s="177">
        <v>13</v>
      </c>
      <c r="Q21" s="177">
        <v>25</v>
      </c>
      <c r="R21" s="177">
        <v>11</v>
      </c>
      <c r="S21" s="177">
        <v>23</v>
      </c>
      <c r="T21" s="177">
        <v>13</v>
      </c>
      <c r="U21" s="177">
        <v>0</v>
      </c>
      <c r="V21" s="177">
        <v>11</v>
      </c>
    </row>
    <row r="22" spans="1:22" x14ac:dyDescent="0.2">
      <c r="A22" s="158">
        <v>14</v>
      </c>
      <c r="B22" s="171" t="s">
        <v>559</v>
      </c>
      <c r="C22" s="174">
        <v>110</v>
      </c>
      <c r="D22" s="176">
        <v>35</v>
      </c>
      <c r="E22" s="176">
        <v>80</v>
      </c>
      <c r="F22" s="176">
        <v>35</v>
      </c>
      <c r="G22" s="177">
        <v>12</v>
      </c>
      <c r="H22" s="177">
        <v>12</v>
      </c>
      <c r="I22" s="177">
        <v>10</v>
      </c>
      <c r="J22" s="177">
        <v>19</v>
      </c>
      <c r="K22" s="177">
        <v>9</v>
      </c>
      <c r="L22" s="177">
        <v>9</v>
      </c>
      <c r="M22" s="177">
        <v>14</v>
      </c>
      <c r="N22" s="177">
        <v>19</v>
      </c>
      <c r="O22" s="177">
        <v>13</v>
      </c>
      <c r="P22" s="177">
        <v>8</v>
      </c>
      <c r="Q22" s="177">
        <v>21</v>
      </c>
      <c r="R22" s="177">
        <v>19</v>
      </c>
      <c r="S22" s="177">
        <v>15</v>
      </c>
      <c r="T22" s="177">
        <v>21</v>
      </c>
      <c r="U22" s="177">
        <v>2</v>
      </c>
      <c r="V22" s="177">
        <v>4</v>
      </c>
    </row>
    <row r="23" spans="1:22" x14ac:dyDescent="0.2">
      <c r="A23" s="158">
        <v>15</v>
      </c>
      <c r="B23" s="171" t="s">
        <v>560</v>
      </c>
      <c r="C23" s="174">
        <v>90</v>
      </c>
      <c r="D23" s="176">
        <v>35</v>
      </c>
      <c r="E23" s="176">
        <v>80</v>
      </c>
      <c r="F23" s="176">
        <v>35</v>
      </c>
      <c r="G23" s="177">
        <v>11</v>
      </c>
      <c r="H23" s="177">
        <v>13</v>
      </c>
      <c r="I23" s="177">
        <v>16</v>
      </c>
      <c r="J23" s="177">
        <v>16</v>
      </c>
      <c r="K23" s="177">
        <v>9</v>
      </c>
      <c r="L23" s="177">
        <v>12</v>
      </c>
      <c r="M23" s="177">
        <v>8</v>
      </c>
      <c r="N23" s="177">
        <v>20</v>
      </c>
      <c r="O23" s="177">
        <v>7</v>
      </c>
      <c r="P23" s="177">
        <v>8</v>
      </c>
      <c r="Q23" s="177">
        <v>17</v>
      </c>
      <c r="R23" s="177">
        <v>14</v>
      </c>
      <c r="S23" s="177">
        <v>21</v>
      </c>
      <c r="T23" s="177">
        <v>18</v>
      </c>
      <c r="U23" s="177">
        <v>5</v>
      </c>
      <c r="V23" s="177">
        <v>11</v>
      </c>
    </row>
    <row r="24" spans="1:22" x14ac:dyDescent="0.2">
      <c r="A24" s="158">
        <v>16</v>
      </c>
      <c r="B24" s="171" t="s">
        <v>561</v>
      </c>
      <c r="C24" s="174">
        <v>109</v>
      </c>
      <c r="D24" s="176">
        <v>35</v>
      </c>
      <c r="E24" s="176">
        <v>80</v>
      </c>
      <c r="F24" s="176">
        <v>65</v>
      </c>
      <c r="G24" s="177">
        <v>12</v>
      </c>
      <c r="H24" s="177">
        <v>14</v>
      </c>
      <c r="I24" s="177">
        <v>11</v>
      </c>
      <c r="J24" s="177">
        <v>14</v>
      </c>
      <c r="K24" s="177">
        <v>9</v>
      </c>
      <c r="L24" s="177">
        <v>12</v>
      </c>
      <c r="M24" s="177">
        <v>9</v>
      </c>
      <c r="N24" s="177">
        <v>24</v>
      </c>
      <c r="O24" s="177">
        <v>14</v>
      </c>
      <c r="P24" s="177">
        <v>5</v>
      </c>
      <c r="Q24" s="177">
        <v>16</v>
      </c>
      <c r="R24" s="177">
        <v>22</v>
      </c>
      <c r="S24" s="177">
        <v>17</v>
      </c>
      <c r="T24" s="177">
        <v>11</v>
      </c>
      <c r="U24" s="177">
        <v>9</v>
      </c>
      <c r="V24" s="177">
        <v>9</v>
      </c>
    </row>
    <row r="25" spans="1:22" x14ac:dyDescent="0.2">
      <c r="A25" s="159">
        <v>17</v>
      </c>
      <c r="B25" s="173" t="s">
        <v>562</v>
      </c>
      <c r="C25" s="174">
        <v>105</v>
      </c>
      <c r="D25" s="176">
        <v>35</v>
      </c>
      <c r="E25" s="176">
        <v>80</v>
      </c>
      <c r="F25" s="176">
        <v>35</v>
      </c>
      <c r="G25" s="177">
        <v>12</v>
      </c>
      <c r="H25" s="177">
        <v>13</v>
      </c>
      <c r="I25" s="177">
        <v>9</v>
      </c>
      <c r="J25" s="177">
        <v>10</v>
      </c>
      <c r="K25" s="177">
        <v>11</v>
      </c>
      <c r="L25" s="177">
        <v>9</v>
      </c>
      <c r="M25" s="177">
        <v>19</v>
      </c>
      <c r="N25" s="177">
        <v>17</v>
      </c>
      <c r="O25" s="177">
        <v>14</v>
      </c>
      <c r="P25" s="177">
        <v>11</v>
      </c>
      <c r="Q25" s="177">
        <v>19</v>
      </c>
      <c r="R25" s="177">
        <v>19</v>
      </c>
      <c r="S25" s="177">
        <v>23</v>
      </c>
      <c r="T25" s="177">
        <v>15</v>
      </c>
      <c r="U25" s="177">
        <v>0</v>
      </c>
      <c r="V25" s="177">
        <v>6</v>
      </c>
    </row>
    <row r="26" spans="1:22" x14ac:dyDescent="0.2">
      <c r="A26" s="158">
        <v>18</v>
      </c>
      <c r="B26" s="171" t="s">
        <v>563</v>
      </c>
      <c r="C26" s="174">
        <v>109</v>
      </c>
      <c r="D26" s="176">
        <v>35</v>
      </c>
      <c r="E26" s="176">
        <v>80</v>
      </c>
      <c r="F26" s="176">
        <v>35</v>
      </c>
      <c r="G26" s="177">
        <v>8</v>
      </c>
      <c r="H26" s="177">
        <v>15</v>
      </c>
      <c r="I26" s="177">
        <v>15</v>
      </c>
      <c r="J26" s="177">
        <v>18</v>
      </c>
      <c r="K26" s="177">
        <v>13</v>
      </c>
      <c r="L26" s="177">
        <v>6</v>
      </c>
      <c r="M26" s="177">
        <v>10</v>
      </c>
      <c r="N26" s="177">
        <v>16</v>
      </c>
      <c r="O26" s="177">
        <v>4</v>
      </c>
      <c r="P26" s="177">
        <v>8</v>
      </c>
      <c r="Q26" s="177">
        <v>22</v>
      </c>
      <c r="R26" s="177">
        <v>13</v>
      </c>
      <c r="S26" s="177">
        <v>17</v>
      </c>
      <c r="T26" s="177">
        <v>10</v>
      </c>
      <c r="U26" s="177">
        <v>8</v>
      </c>
      <c r="V26" s="177">
        <v>10</v>
      </c>
    </row>
    <row r="27" spans="1:22" x14ac:dyDescent="0.2">
      <c r="A27" s="158">
        <v>19</v>
      </c>
      <c r="B27" s="171" t="s">
        <v>564</v>
      </c>
      <c r="C27" s="174">
        <v>80</v>
      </c>
      <c r="D27" s="176">
        <v>35</v>
      </c>
      <c r="E27" s="176">
        <v>80</v>
      </c>
      <c r="F27" s="176">
        <v>35</v>
      </c>
      <c r="G27" s="177">
        <v>6</v>
      </c>
      <c r="H27" s="177">
        <v>12</v>
      </c>
      <c r="I27" s="177">
        <v>10</v>
      </c>
      <c r="J27" s="177">
        <v>13</v>
      </c>
      <c r="K27" s="177">
        <v>10</v>
      </c>
      <c r="L27" s="177">
        <v>9</v>
      </c>
      <c r="M27" s="177">
        <v>9</v>
      </c>
      <c r="N27" s="177">
        <v>18</v>
      </c>
      <c r="O27" s="177">
        <v>17</v>
      </c>
      <c r="P27" s="177">
        <v>19</v>
      </c>
      <c r="Q27" s="177">
        <v>16</v>
      </c>
      <c r="R27" s="177">
        <v>14</v>
      </c>
      <c r="S27" s="177">
        <v>13</v>
      </c>
      <c r="T27" s="177">
        <v>15</v>
      </c>
      <c r="U27" s="177">
        <v>8</v>
      </c>
      <c r="V27" s="177">
        <v>13</v>
      </c>
    </row>
    <row r="28" spans="1:22" x14ac:dyDescent="0.2">
      <c r="A28" s="158">
        <v>20</v>
      </c>
      <c r="B28" s="171" t="s">
        <v>565</v>
      </c>
      <c r="C28" s="174">
        <v>105</v>
      </c>
      <c r="D28" s="176">
        <v>35</v>
      </c>
      <c r="E28" s="176">
        <v>35</v>
      </c>
      <c r="F28" s="176">
        <v>35</v>
      </c>
      <c r="G28" s="177">
        <v>7</v>
      </c>
      <c r="H28" s="177">
        <v>11</v>
      </c>
      <c r="I28" s="177">
        <v>11</v>
      </c>
      <c r="J28" s="177">
        <v>12</v>
      </c>
      <c r="K28" s="177">
        <v>10</v>
      </c>
      <c r="L28" s="177">
        <v>12</v>
      </c>
      <c r="M28" s="177">
        <v>10</v>
      </c>
      <c r="N28" s="177">
        <v>12</v>
      </c>
      <c r="O28" s="177">
        <v>17</v>
      </c>
      <c r="P28" s="177">
        <v>15</v>
      </c>
      <c r="Q28" s="177">
        <v>17</v>
      </c>
      <c r="R28" s="177">
        <v>18</v>
      </c>
      <c r="S28" s="177">
        <v>16</v>
      </c>
      <c r="T28" s="177">
        <v>13</v>
      </c>
      <c r="U28" s="177">
        <v>8</v>
      </c>
      <c r="V28" s="177">
        <v>12</v>
      </c>
    </row>
    <row r="29" spans="1:22" x14ac:dyDescent="0.2">
      <c r="A29" s="158">
        <v>21</v>
      </c>
      <c r="B29" s="171" t="s">
        <v>566</v>
      </c>
      <c r="C29" s="174">
        <v>105</v>
      </c>
      <c r="D29" s="176">
        <v>35</v>
      </c>
      <c r="E29" s="176">
        <v>80</v>
      </c>
      <c r="F29" s="176">
        <v>35</v>
      </c>
      <c r="G29" s="177">
        <v>12</v>
      </c>
      <c r="H29" s="177">
        <v>8</v>
      </c>
      <c r="I29" s="177">
        <v>8</v>
      </c>
      <c r="J29" s="177">
        <v>11</v>
      </c>
      <c r="K29" s="177">
        <v>9</v>
      </c>
      <c r="L29" s="177">
        <v>14</v>
      </c>
      <c r="M29" s="177">
        <v>16</v>
      </c>
      <c r="N29" s="177">
        <v>18</v>
      </c>
      <c r="O29" s="177">
        <v>19</v>
      </c>
      <c r="P29" s="177">
        <v>13</v>
      </c>
      <c r="Q29" s="177">
        <v>15</v>
      </c>
      <c r="R29" s="177">
        <v>17</v>
      </c>
      <c r="S29" s="177">
        <v>19</v>
      </c>
      <c r="T29" s="177">
        <v>15</v>
      </c>
      <c r="U29" s="177">
        <v>0</v>
      </c>
      <c r="V29" s="177">
        <v>15</v>
      </c>
    </row>
    <row r="30" spans="1:22" x14ac:dyDescent="0.2">
      <c r="A30" s="158">
        <v>22</v>
      </c>
      <c r="B30" s="171" t="s">
        <v>567</v>
      </c>
      <c r="C30" s="174">
        <v>80</v>
      </c>
      <c r="D30" s="176">
        <v>35</v>
      </c>
      <c r="E30" s="176">
        <v>80</v>
      </c>
      <c r="F30" s="176">
        <v>35</v>
      </c>
      <c r="G30" s="177">
        <v>13</v>
      </c>
      <c r="H30" s="177">
        <v>12</v>
      </c>
      <c r="I30" s="177">
        <v>12</v>
      </c>
      <c r="J30" s="177">
        <v>10</v>
      </c>
      <c r="K30" s="177">
        <v>12</v>
      </c>
      <c r="L30" s="177">
        <v>17</v>
      </c>
      <c r="M30" s="177">
        <v>11</v>
      </c>
      <c r="N30" s="177">
        <v>23</v>
      </c>
      <c r="O30" s="177">
        <v>9</v>
      </c>
      <c r="P30" s="177">
        <v>8</v>
      </c>
      <c r="Q30" s="177">
        <v>20</v>
      </c>
      <c r="R30" s="177">
        <v>15</v>
      </c>
      <c r="S30" s="177">
        <v>15</v>
      </c>
      <c r="T30" s="177">
        <v>17</v>
      </c>
      <c r="U30" s="177">
        <v>3</v>
      </c>
      <c r="V30" s="177">
        <v>11</v>
      </c>
    </row>
    <row r="31" spans="1:22" x14ac:dyDescent="0.2">
      <c r="A31" s="158">
        <v>23</v>
      </c>
      <c r="B31" s="171" t="s">
        <v>568</v>
      </c>
      <c r="C31" s="174">
        <v>105</v>
      </c>
      <c r="D31" s="176">
        <v>35</v>
      </c>
      <c r="E31" s="176">
        <v>80</v>
      </c>
      <c r="F31" s="176">
        <v>35</v>
      </c>
      <c r="G31" s="177">
        <v>13</v>
      </c>
      <c r="H31" s="177">
        <v>11</v>
      </c>
      <c r="I31" s="177">
        <v>9</v>
      </c>
      <c r="J31" s="177">
        <v>15</v>
      </c>
      <c r="K31" s="177">
        <v>10</v>
      </c>
      <c r="L31" s="177">
        <v>9</v>
      </c>
      <c r="M31" s="177">
        <v>15</v>
      </c>
      <c r="N31" s="177">
        <v>15</v>
      </c>
      <c r="O31" s="177">
        <v>11</v>
      </c>
      <c r="P31" s="177">
        <v>9</v>
      </c>
      <c r="Q31" s="177">
        <v>20</v>
      </c>
      <c r="R31" s="177">
        <v>18</v>
      </c>
      <c r="S31" s="177">
        <v>19</v>
      </c>
      <c r="T31" s="177">
        <v>24</v>
      </c>
      <c r="U31" s="177">
        <v>1</v>
      </c>
      <c r="V31" s="177">
        <v>9</v>
      </c>
    </row>
    <row r="32" spans="1:22" x14ac:dyDescent="0.2">
      <c r="A32" s="158">
        <v>24</v>
      </c>
      <c r="B32" s="171" t="s">
        <v>569</v>
      </c>
      <c r="C32" s="174">
        <v>80</v>
      </c>
      <c r="D32" s="176">
        <v>35</v>
      </c>
      <c r="E32" s="176">
        <v>80</v>
      </c>
      <c r="F32" s="176">
        <v>35</v>
      </c>
      <c r="G32" s="177">
        <v>12</v>
      </c>
      <c r="H32" s="177">
        <v>13</v>
      </c>
      <c r="I32" s="177">
        <v>8</v>
      </c>
      <c r="J32" s="177">
        <v>9</v>
      </c>
      <c r="K32" s="177">
        <v>8</v>
      </c>
      <c r="L32" s="177">
        <v>10</v>
      </c>
      <c r="M32" s="177">
        <v>20</v>
      </c>
      <c r="N32" s="177">
        <v>17</v>
      </c>
      <c r="O32" s="177">
        <v>19</v>
      </c>
      <c r="P32" s="177">
        <v>13</v>
      </c>
      <c r="Q32" s="177">
        <v>19</v>
      </c>
      <c r="R32" s="177">
        <v>15</v>
      </c>
      <c r="S32" s="177">
        <v>10</v>
      </c>
      <c r="T32" s="177">
        <v>14</v>
      </c>
      <c r="U32" s="177">
        <v>13</v>
      </c>
      <c r="V32" s="177">
        <v>11</v>
      </c>
    </row>
    <row r="33" spans="1:22" x14ac:dyDescent="0.2">
      <c r="A33" s="158"/>
      <c r="B33" s="171"/>
      <c r="C33" s="174"/>
      <c r="D33" s="176"/>
      <c r="E33" s="176"/>
      <c r="F33" s="176"/>
      <c r="G33" s="177"/>
      <c r="H33" s="177"/>
      <c r="I33" s="177"/>
      <c r="J33" s="177"/>
      <c r="K33" s="177"/>
      <c r="L33" s="177"/>
      <c r="M33" s="177"/>
      <c r="N33" s="177"/>
      <c r="O33" s="177"/>
      <c r="P33" s="177"/>
      <c r="Q33" s="177"/>
      <c r="R33" s="177"/>
      <c r="S33" s="177"/>
      <c r="T33" s="177"/>
      <c r="U33" s="177"/>
      <c r="V33" s="177"/>
    </row>
    <row r="34" spans="1:22" x14ac:dyDescent="0.2">
      <c r="A34" s="158"/>
      <c r="B34" s="171"/>
      <c r="C34" s="174"/>
      <c r="D34" s="176"/>
      <c r="E34" s="176"/>
      <c r="F34" s="176"/>
      <c r="G34" s="177"/>
      <c r="H34" s="177"/>
      <c r="I34" s="177"/>
      <c r="J34" s="177"/>
      <c r="K34" s="177"/>
      <c r="L34" s="177"/>
      <c r="M34" s="177"/>
      <c r="N34" s="177"/>
      <c r="O34" s="177"/>
      <c r="P34" s="177"/>
      <c r="Q34" s="177"/>
      <c r="R34" s="177"/>
      <c r="S34" s="177"/>
      <c r="T34" s="177"/>
      <c r="U34" s="177"/>
      <c r="V34" s="177"/>
    </row>
    <row r="35" spans="1:22" x14ac:dyDescent="0.2">
      <c r="A35" s="158"/>
      <c r="B35" s="171"/>
      <c r="C35" s="174"/>
      <c r="D35" s="176"/>
      <c r="E35" s="176"/>
      <c r="F35" s="176"/>
      <c r="G35" s="177"/>
      <c r="H35" s="177"/>
      <c r="I35" s="177"/>
      <c r="J35" s="177"/>
      <c r="K35" s="177"/>
      <c r="L35" s="177"/>
      <c r="M35" s="177"/>
      <c r="N35" s="177"/>
      <c r="O35" s="177"/>
      <c r="P35" s="177"/>
      <c r="Q35" s="177"/>
      <c r="R35" s="177"/>
      <c r="S35" s="177"/>
      <c r="T35" s="177"/>
      <c r="U35" s="177"/>
      <c r="V35" s="177"/>
    </row>
    <row r="36" spans="1:22" x14ac:dyDescent="0.2">
      <c r="A36" s="158"/>
      <c r="B36" s="171"/>
      <c r="C36" s="174"/>
      <c r="D36" s="176"/>
      <c r="E36" s="176"/>
      <c r="F36" s="176"/>
      <c r="G36" s="177"/>
      <c r="H36" s="177"/>
      <c r="I36" s="177"/>
      <c r="J36" s="177"/>
      <c r="K36" s="177"/>
      <c r="L36" s="177"/>
      <c r="M36" s="177"/>
      <c r="N36" s="177"/>
      <c r="O36" s="177"/>
      <c r="P36" s="177"/>
      <c r="Q36" s="177"/>
      <c r="R36" s="177"/>
      <c r="S36" s="177"/>
      <c r="T36" s="177"/>
      <c r="U36" s="177"/>
      <c r="V36" s="177"/>
    </row>
    <row r="37" spans="1:22" x14ac:dyDescent="0.2">
      <c r="A37" s="158"/>
      <c r="B37" s="171"/>
      <c r="C37" s="174"/>
      <c r="D37" s="176"/>
      <c r="E37" s="176"/>
      <c r="F37" s="176"/>
      <c r="G37" s="177"/>
      <c r="H37" s="177"/>
      <c r="I37" s="177"/>
      <c r="J37" s="177"/>
      <c r="K37" s="177"/>
      <c r="L37" s="177"/>
      <c r="M37" s="177"/>
      <c r="N37" s="177"/>
      <c r="O37" s="177"/>
      <c r="P37" s="177"/>
      <c r="Q37" s="177"/>
      <c r="R37" s="177"/>
      <c r="S37" s="177"/>
      <c r="T37" s="177"/>
      <c r="U37" s="177"/>
      <c r="V37" s="177"/>
    </row>
    <row r="38" spans="1:22" x14ac:dyDescent="0.2">
      <c r="A38" s="158"/>
      <c r="B38" s="171"/>
      <c r="C38" s="174"/>
      <c r="D38" s="176"/>
      <c r="E38" s="176"/>
      <c r="F38" s="176"/>
      <c r="G38" s="177"/>
      <c r="H38" s="177"/>
      <c r="I38" s="177"/>
      <c r="J38" s="177"/>
      <c r="K38" s="177"/>
      <c r="L38" s="177"/>
      <c r="M38" s="177"/>
      <c r="N38" s="177"/>
      <c r="O38" s="177"/>
      <c r="P38" s="177"/>
      <c r="Q38" s="177"/>
      <c r="R38" s="177"/>
      <c r="S38" s="177"/>
      <c r="T38" s="177"/>
      <c r="U38" s="177"/>
      <c r="V38" s="177"/>
    </row>
    <row r="39" spans="1:22" x14ac:dyDescent="0.2">
      <c r="A39" s="158"/>
      <c r="B39" s="171"/>
      <c r="C39" s="174"/>
      <c r="D39" s="176"/>
      <c r="E39" s="176"/>
      <c r="F39" s="176"/>
      <c r="G39" s="177"/>
      <c r="H39" s="177"/>
      <c r="I39" s="177"/>
      <c r="J39" s="177"/>
      <c r="K39" s="177"/>
      <c r="L39" s="177"/>
      <c r="M39" s="177"/>
      <c r="N39" s="177"/>
      <c r="O39" s="177"/>
      <c r="P39" s="177"/>
      <c r="Q39" s="177"/>
      <c r="R39" s="177"/>
      <c r="S39" s="177"/>
      <c r="T39" s="177"/>
      <c r="U39" s="177"/>
      <c r="V39" s="177"/>
    </row>
  </sheetData>
  <mergeCells count="9">
    <mergeCell ref="A3:V3"/>
    <mergeCell ref="A4:V4"/>
    <mergeCell ref="A5:V5"/>
    <mergeCell ref="A6:V6"/>
    <mergeCell ref="A7:A8"/>
    <mergeCell ref="B7:B8"/>
    <mergeCell ref="C7:C8"/>
    <mergeCell ref="D7:F7"/>
    <mergeCell ref="G7:V7"/>
  </mergeCells>
  <pageMargins left="0.45" right="0.2" top="0.5" bottom="0.5" header="0.3" footer="0.3"/>
  <pageSetup paperSize="9" scale="85"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48752-7D78-451A-8847-C8A429BDE087}">
  <dimension ref="A3:AI39"/>
  <sheetViews>
    <sheetView view="pageBreakPreview" zoomScaleNormal="100" zoomScaleSheetLayoutView="100" workbookViewId="0">
      <selection activeCell="D9" sqref="D9:F33"/>
    </sheetView>
  </sheetViews>
  <sheetFormatPr defaultColWidth="11.43359375" defaultRowHeight="15" x14ac:dyDescent="0.2"/>
  <cols>
    <col min="1" max="1" width="5.24609375" customWidth="1"/>
    <col min="2" max="2" width="48.42578125" bestFit="1" customWidth="1"/>
    <col min="3" max="3" width="7.80078125" customWidth="1"/>
    <col min="4" max="22" width="5.91796875" customWidth="1"/>
  </cols>
  <sheetData>
    <row r="3" spans="1:35" ht="21.75" x14ac:dyDescent="0.3">
      <c r="A3" s="181" t="s">
        <v>420</v>
      </c>
      <c r="B3" s="181"/>
      <c r="C3" s="181"/>
      <c r="D3" s="181"/>
      <c r="E3" s="181"/>
      <c r="F3" s="181"/>
      <c r="G3" s="181"/>
      <c r="H3" s="181"/>
      <c r="I3" s="181"/>
      <c r="J3" s="181"/>
      <c r="K3" s="181"/>
      <c r="L3" s="181"/>
      <c r="M3" s="181"/>
      <c r="N3" s="181"/>
      <c r="O3" s="181"/>
      <c r="P3" s="181"/>
      <c r="Q3" s="181"/>
      <c r="R3" s="181"/>
      <c r="S3" s="181"/>
      <c r="T3" s="181"/>
      <c r="U3" s="181"/>
      <c r="V3" s="181"/>
      <c r="W3" s="160"/>
      <c r="X3" s="160"/>
      <c r="Y3" s="160"/>
      <c r="Z3" s="160"/>
      <c r="AA3" s="160"/>
      <c r="AB3" s="160"/>
      <c r="AC3" s="160"/>
      <c r="AD3" s="160"/>
      <c r="AE3" s="160"/>
      <c r="AF3" s="160"/>
      <c r="AG3" s="160"/>
      <c r="AH3" s="160"/>
      <c r="AI3" s="160"/>
    </row>
    <row r="4" spans="1:35" ht="18.75" x14ac:dyDescent="0.25">
      <c r="A4" s="182" t="s">
        <v>421</v>
      </c>
      <c r="B4" s="182"/>
      <c r="C4" s="182"/>
      <c r="D4" s="182"/>
      <c r="E4" s="182"/>
      <c r="F4" s="182"/>
      <c r="G4" s="182"/>
      <c r="H4" s="182"/>
      <c r="I4" s="182"/>
      <c r="J4" s="182"/>
      <c r="K4" s="182"/>
      <c r="L4" s="182"/>
      <c r="M4" s="182"/>
      <c r="N4" s="182"/>
      <c r="O4" s="182"/>
      <c r="P4" s="182"/>
      <c r="Q4" s="182"/>
      <c r="R4" s="182"/>
      <c r="S4" s="182"/>
      <c r="T4" s="182"/>
      <c r="U4" s="182"/>
      <c r="V4" s="182"/>
      <c r="W4" s="161"/>
      <c r="X4" s="161"/>
      <c r="Y4" s="161"/>
      <c r="Z4" s="161"/>
      <c r="AA4" s="161"/>
      <c r="AB4" s="161"/>
      <c r="AC4" s="161"/>
      <c r="AD4" s="161"/>
      <c r="AE4" s="161"/>
      <c r="AF4" s="161"/>
      <c r="AG4" s="161"/>
      <c r="AH4" s="161"/>
      <c r="AI4" s="161"/>
    </row>
    <row r="5" spans="1:35" ht="18.75" x14ac:dyDescent="0.25">
      <c r="A5" s="182" t="s">
        <v>570</v>
      </c>
      <c r="B5" s="182"/>
      <c r="C5" s="182"/>
      <c r="D5" s="182"/>
      <c r="E5" s="182"/>
      <c r="F5" s="182"/>
      <c r="G5" s="182"/>
      <c r="H5" s="182"/>
      <c r="I5" s="182"/>
      <c r="J5" s="182"/>
      <c r="K5" s="182"/>
      <c r="L5" s="182"/>
      <c r="M5" s="182"/>
      <c r="N5" s="182"/>
      <c r="O5" s="182"/>
      <c r="P5" s="182"/>
      <c r="Q5" s="182"/>
      <c r="R5" s="182"/>
      <c r="S5" s="182"/>
      <c r="T5" s="182"/>
      <c r="U5" s="182"/>
      <c r="V5" s="182"/>
      <c r="W5" s="161"/>
      <c r="X5" s="161"/>
      <c r="Y5" s="161"/>
      <c r="Z5" s="161"/>
      <c r="AA5" s="161"/>
      <c r="AB5" s="161"/>
      <c r="AC5" s="161"/>
      <c r="AD5" s="161"/>
      <c r="AE5" s="161"/>
      <c r="AF5" s="161"/>
      <c r="AG5" s="161"/>
      <c r="AH5" s="161"/>
      <c r="AI5" s="161"/>
    </row>
    <row r="6" spans="1:35" x14ac:dyDescent="0.2">
      <c r="A6" s="186"/>
      <c r="B6" s="186"/>
      <c r="C6" s="186"/>
      <c r="D6" s="186"/>
      <c r="E6" s="186"/>
      <c r="F6" s="186"/>
      <c r="G6" s="186"/>
      <c r="H6" s="186"/>
      <c r="I6" s="186"/>
      <c r="J6" s="186"/>
      <c r="K6" s="186"/>
      <c r="L6" s="186"/>
      <c r="M6" s="186"/>
      <c r="N6" s="186"/>
      <c r="O6" s="186"/>
      <c r="P6" s="186"/>
      <c r="Q6" s="186"/>
      <c r="R6" s="186"/>
      <c r="S6" s="186"/>
      <c r="T6" s="186"/>
      <c r="U6" s="186"/>
      <c r="V6" s="186"/>
    </row>
    <row r="7" spans="1:35" x14ac:dyDescent="0.2">
      <c r="A7" s="187" t="s">
        <v>0</v>
      </c>
      <c r="B7" s="187" t="s">
        <v>379</v>
      </c>
      <c r="C7" s="187" t="s">
        <v>2</v>
      </c>
      <c r="D7" s="187" t="s">
        <v>417</v>
      </c>
      <c r="E7" s="187"/>
      <c r="F7" s="187"/>
      <c r="G7" s="183" t="s">
        <v>418</v>
      </c>
      <c r="H7" s="184"/>
      <c r="I7" s="184"/>
      <c r="J7" s="184"/>
      <c r="K7" s="184"/>
      <c r="L7" s="184"/>
      <c r="M7" s="184"/>
      <c r="N7" s="184"/>
      <c r="O7" s="184"/>
      <c r="P7" s="184"/>
      <c r="Q7" s="184"/>
      <c r="R7" s="184"/>
      <c r="S7" s="184"/>
      <c r="T7" s="184"/>
      <c r="U7" s="184"/>
      <c r="V7" s="185"/>
    </row>
    <row r="8" spans="1:35" x14ac:dyDescent="0.2">
      <c r="A8" s="187"/>
      <c r="B8" s="187"/>
      <c r="C8" s="187"/>
      <c r="D8" s="162">
        <v>1</v>
      </c>
      <c r="E8" s="162">
        <v>2</v>
      </c>
      <c r="F8" s="162">
        <v>3</v>
      </c>
      <c r="G8" s="162">
        <v>1</v>
      </c>
      <c r="H8" s="162">
        <v>2</v>
      </c>
      <c r="I8" s="162">
        <v>3</v>
      </c>
      <c r="J8" s="162">
        <v>4</v>
      </c>
      <c r="K8" s="162">
        <v>5</v>
      </c>
      <c r="L8" s="162">
        <v>6</v>
      </c>
      <c r="M8" s="162">
        <v>7</v>
      </c>
      <c r="N8" s="162">
        <v>8</v>
      </c>
      <c r="O8" s="162">
        <v>9</v>
      </c>
      <c r="P8" s="162">
        <v>10</v>
      </c>
      <c r="Q8" s="162">
        <v>11</v>
      </c>
      <c r="R8" s="162">
        <v>12</v>
      </c>
      <c r="S8" s="162">
        <v>13</v>
      </c>
      <c r="T8" s="162">
        <v>14</v>
      </c>
      <c r="U8" s="162">
        <v>15</v>
      </c>
      <c r="V8" s="162">
        <v>16</v>
      </c>
    </row>
    <row r="9" spans="1:35" x14ac:dyDescent="0.2">
      <c r="A9" s="158">
        <v>1</v>
      </c>
      <c r="B9" s="171" t="s">
        <v>571</v>
      </c>
      <c r="C9" s="174">
        <v>89</v>
      </c>
      <c r="D9" s="176">
        <v>35</v>
      </c>
      <c r="E9" s="176">
        <v>65</v>
      </c>
      <c r="F9" s="176">
        <v>35</v>
      </c>
      <c r="G9" s="177">
        <v>13</v>
      </c>
      <c r="H9" s="177">
        <v>15</v>
      </c>
      <c r="I9" s="177">
        <v>9</v>
      </c>
      <c r="J9" s="177">
        <v>11</v>
      </c>
      <c r="K9" s="177">
        <v>10</v>
      </c>
      <c r="L9" s="177">
        <v>10</v>
      </c>
      <c r="M9" s="177">
        <v>17</v>
      </c>
      <c r="N9" s="177">
        <v>12</v>
      </c>
      <c r="O9" s="177">
        <v>15</v>
      </c>
      <c r="P9" s="177">
        <v>7</v>
      </c>
      <c r="Q9" s="177">
        <v>21</v>
      </c>
      <c r="R9" s="177">
        <v>15</v>
      </c>
      <c r="S9" s="177">
        <v>15</v>
      </c>
      <c r="T9" s="177">
        <v>12</v>
      </c>
      <c r="U9" s="177">
        <v>11</v>
      </c>
      <c r="V9" s="177">
        <v>15</v>
      </c>
    </row>
    <row r="10" spans="1:35" x14ac:dyDescent="0.2">
      <c r="A10" s="158">
        <v>2</v>
      </c>
      <c r="B10" s="171" t="s">
        <v>572</v>
      </c>
      <c r="C10" s="174">
        <v>115</v>
      </c>
      <c r="D10" s="176">
        <v>35</v>
      </c>
      <c r="E10" s="176">
        <v>80</v>
      </c>
      <c r="F10" s="176">
        <v>35</v>
      </c>
      <c r="G10" s="177">
        <v>12</v>
      </c>
      <c r="H10" s="177">
        <v>10</v>
      </c>
      <c r="I10" s="177">
        <v>9</v>
      </c>
      <c r="J10" s="177">
        <v>13</v>
      </c>
      <c r="K10" s="177">
        <v>9</v>
      </c>
      <c r="L10" s="177">
        <v>10</v>
      </c>
      <c r="M10" s="177">
        <v>14</v>
      </c>
      <c r="N10" s="177">
        <v>17</v>
      </c>
      <c r="O10" s="177">
        <v>16</v>
      </c>
      <c r="P10" s="177">
        <v>13</v>
      </c>
      <c r="Q10" s="177">
        <v>15</v>
      </c>
      <c r="R10" s="177">
        <v>11</v>
      </c>
      <c r="S10" s="177">
        <v>17</v>
      </c>
      <c r="T10" s="177">
        <v>14</v>
      </c>
      <c r="U10" s="177">
        <v>11</v>
      </c>
      <c r="V10" s="177">
        <v>13</v>
      </c>
    </row>
    <row r="11" spans="1:35" x14ac:dyDescent="0.2">
      <c r="A11" s="158">
        <v>3</v>
      </c>
      <c r="B11" s="171" t="s">
        <v>573</v>
      </c>
      <c r="C11" s="174">
        <v>89</v>
      </c>
      <c r="D11" s="176">
        <v>35</v>
      </c>
      <c r="E11" s="176">
        <v>80</v>
      </c>
      <c r="F11" s="176">
        <v>35</v>
      </c>
      <c r="G11" s="177">
        <v>8</v>
      </c>
      <c r="H11" s="177">
        <v>15</v>
      </c>
      <c r="I11" s="177">
        <v>13</v>
      </c>
      <c r="J11" s="177">
        <v>19</v>
      </c>
      <c r="K11" s="177">
        <v>7</v>
      </c>
      <c r="L11" s="177">
        <v>4</v>
      </c>
      <c r="M11" s="177">
        <v>12</v>
      </c>
      <c r="N11" s="177">
        <v>17</v>
      </c>
      <c r="O11" s="177">
        <v>15</v>
      </c>
      <c r="P11" s="177">
        <v>12</v>
      </c>
      <c r="Q11" s="177">
        <v>11</v>
      </c>
      <c r="R11" s="177">
        <v>22</v>
      </c>
      <c r="S11" s="177">
        <v>15</v>
      </c>
      <c r="T11" s="177">
        <v>20</v>
      </c>
      <c r="U11" s="177">
        <v>3</v>
      </c>
      <c r="V11" s="177">
        <v>7</v>
      </c>
    </row>
    <row r="12" spans="1:35" x14ac:dyDescent="0.2">
      <c r="A12" s="158">
        <v>4</v>
      </c>
      <c r="B12" s="171" t="s">
        <v>574</v>
      </c>
      <c r="C12" s="174">
        <v>115</v>
      </c>
      <c r="D12" s="176">
        <v>35</v>
      </c>
      <c r="E12" s="176">
        <v>80</v>
      </c>
      <c r="F12" s="176">
        <v>35</v>
      </c>
      <c r="G12" s="177">
        <v>7</v>
      </c>
      <c r="H12" s="177">
        <v>12</v>
      </c>
      <c r="I12" s="177">
        <v>9</v>
      </c>
      <c r="J12" s="177">
        <v>11</v>
      </c>
      <c r="K12" s="177">
        <v>11</v>
      </c>
      <c r="L12" s="177">
        <v>6</v>
      </c>
      <c r="M12" s="177">
        <v>17</v>
      </c>
      <c r="N12" s="177">
        <v>18</v>
      </c>
      <c r="O12" s="177">
        <v>23</v>
      </c>
      <c r="P12" s="177">
        <v>9</v>
      </c>
      <c r="Q12" s="177">
        <v>16</v>
      </c>
      <c r="R12" s="177">
        <v>21</v>
      </c>
      <c r="S12" s="177">
        <v>7</v>
      </c>
      <c r="T12" s="177">
        <v>16</v>
      </c>
      <c r="U12" s="177">
        <v>5</v>
      </c>
      <c r="V12" s="177">
        <v>14</v>
      </c>
    </row>
    <row r="13" spans="1:35" x14ac:dyDescent="0.2">
      <c r="A13" s="158">
        <v>5</v>
      </c>
      <c r="B13" s="171" t="s">
        <v>575</v>
      </c>
      <c r="C13" s="174">
        <v>89</v>
      </c>
      <c r="D13" s="176">
        <v>35</v>
      </c>
      <c r="E13" s="176">
        <v>80</v>
      </c>
      <c r="F13" s="176">
        <v>35</v>
      </c>
      <c r="G13" s="177">
        <v>12</v>
      </c>
      <c r="H13" s="177">
        <v>12</v>
      </c>
      <c r="I13" s="177">
        <v>8</v>
      </c>
      <c r="J13" s="177">
        <v>14</v>
      </c>
      <c r="K13" s="177">
        <v>6</v>
      </c>
      <c r="L13" s="177">
        <v>9</v>
      </c>
      <c r="M13" s="177">
        <v>12</v>
      </c>
      <c r="N13" s="177">
        <v>16</v>
      </c>
      <c r="O13" s="177">
        <v>10</v>
      </c>
      <c r="P13" s="177">
        <v>12</v>
      </c>
      <c r="Q13" s="177">
        <v>18</v>
      </c>
      <c r="R13" s="177">
        <v>14</v>
      </c>
      <c r="S13" s="177">
        <v>24</v>
      </c>
      <c r="T13" s="177">
        <v>18</v>
      </c>
      <c r="U13" s="177">
        <v>5</v>
      </c>
      <c r="V13" s="177">
        <v>17</v>
      </c>
    </row>
    <row r="14" spans="1:35" x14ac:dyDescent="0.2">
      <c r="A14" s="158">
        <v>6</v>
      </c>
      <c r="B14" s="171" t="s">
        <v>576</v>
      </c>
      <c r="C14" s="174">
        <v>115</v>
      </c>
      <c r="D14" s="176">
        <v>35</v>
      </c>
      <c r="E14" s="176">
        <v>80</v>
      </c>
      <c r="F14" s="176">
        <v>65</v>
      </c>
      <c r="G14" s="177">
        <v>11</v>
      </c>
      <c r="H14" s="177">
        <v>8</v>
      </c>
      <c r="I14" s="177">
        <v>11</v>
      </c>
      <c r="J14" s="177">
        <v>7</v>
      </c>
      <c r="K14" s="177">
        <v>11</v>
      </c>
      <c r="L14" s="177">
        <v>18</v>
      </c>
      <c r="M14" s="177">
        <v>15</v>
      </c>
      <c r="N14" s="177">
        <v>14</v>
      </c>
      <c r="O14" s="177">
        <v>12</v>
      </c>
      <c r="P14" s="177">
        <v>13</v>
      </c>
      <c r="Q14" s="177">
        <v>21</v>
      </c>
      <c r="R14" s="177">
        <v>17</v>
      </c>
      <c r="S14" s="177">
        <v>9</v>
      </c>
      <c r="T14" s="177">
        <v>9</v>
      </c>
      <c r="U14" s="177">
        <v>17</v>
      </c>
      <c r="V14" s="177">
        <v>15</v>
      </c>
    </row>
    <row r="15" spans="1:35" x14ac:dyDescent="0.2">
      <c r="A15" s="158">
        <v>7</v>
      </c>
      <c r="B15" s="171" t="s">
        <v>577</v>
      </c>
      <c r="C15" s="174">
        <v>90</v>
      </c>
      <c r="D15" s="176">
        <v>35</v>
      </c>
      <c r="E15" s="176">
        <v>35</v>
      </c>
      <c r="F15" s="176">
        <v>35</v>
      </c>
      <c r="G15" s="177">
        <v>10</v>
      </c>
      <c r="H15" s="177">
        <v>19</v>
      </c>
      <c r="I15" s="177">
        <v>14</v>
      </c>
      <c r="J15" s="177">
        <v>9</v>
      </c>
      <c r="K15" s="177">
        <v>7</v>
      </c>
      <c r="L15" s="177">
        <v>9</v>
      </c>
      <c r="M15" s="177">
        <v>14</v>
      </c>
      <c r="N15" s="177">
        <v>15</v>
      </c>
      <c r="O15" s="177">
        <v>8</v>
      </c>
      <c r="P15" s="177">
        <v>11</v>
      </c>
      <c r="Q15" s="177">
        <v>19</v>
      </c>
      <c r="R15" s="177">
        <v>15</v>
      </c>
      <c r="S15" s="177">
        <v>14</v>
      </c>
      <c r="T15" s="177">
        <v>23</v>
      </c>
      <c r="U15" s="177">
        <v>0</v>
      </c>
      <c r="V15" s="177">
        <v>18</v>
      </c>
    </row>
    <row r="16" spans="1:35" x14ac:dyDescent="0.2">
      <c r="A16" s="158">
        <v>8</v>
      </c>
      <c r="B16" s="171" t="s">
        <v>578</v>
      </c>
      <c r="C16" s="174">
        <v>80</v>
      </c>
      <c r="D16" s="176">
        <v>35</v>
      </c>
      <c r="E16" s="176">
        <v>80</v>
      </c>
      <c r="F16" s="176">
        <v>35</v>
      </c>
      <c r="G16" s="177">
        <v>6</v>
      </c>
      <c r="H16" s="177">
        <v>11</v>
      </c>
      <c r="I16" s="177">
        <v>11</v>
      </c>
      <c r="J16" s="177">
        <v>11</v>
      </c>
      <c r="K16" s="177">
        <v>12</v>
      </c>
      <c r="L16" s="177">
        <v>7</v>
      </c>
      <c r="M16" s="177">
        <v>15</v>
      </c>
      <c r="N16" s="177">
        <v>15</v>
      </c>
      <c r="O16" s="177">
        <v>12</v>
      </c>
      <c r="P16" s="177">
        <v>12</v>
      </c>
      <c r="Q16" s="177">
        <v>23</v>
      </c>
      <c r="R16" s="177">
        <v>10</v>
      </c>
      <c r="S16" s="177">
        <v>18</v>
      </c>
      <c r="T16" s="177">
        <v>10</v>
      </c>
      <c r="U16" s="177">
        <v>14</v>
      </c>
      <c r="V16" s="177">
        <v>19</v>
      </c>
    </row>
    <row r="17" spans="1:22" x14ac:dyDescent="0.2">
      <c r="A17" s="158">
        <v>9</v>
      </c>
      <c r="B17" s="171" t="s">
        <v>579</v>
      </c>
      <c r="C17" s="174">
        <v>80</v>
      </c>
      <c r="D17" s="176">
        <v>35</v>
      </c>
      <c r="E17" s="176">
        <v>80</v>
      </c>
      <c r="F17" s="176">
        <v>35</v>
      </c>
      <c r="G17" s="177">
        <v>13</v>
      </c>
      <c r="H17" s="177">
        <v>15</v>
      </c>
      <c r="I17" s="177">
        <v>8</v>
      </c>
      <c r="J17" s="177">
        <v>15</v>
      </c>
      <c r="K17" s="177">
        <v>15</v>
      </c>
      <c r="L17" s="177">
        <v>5</v>
      </c>
      <c r="M17" s="177">
        <v>14</v>
      </c>
      <c r="N17" s="177">
        <v>15</v>
      </c>
      <c r="O17" s="177">
        <v>15</v>
      </c>
      <c r="P17" s="177">
        <v>16</v>
      </c>
      <c r="Q17" s="177">
        <v>14</v>
      </c>
      <c r="R17" s="177">
        <v>17</v>
      </c>
      <c r="S17" s="177">
        <v>12</v>
      </c>
      <c r="T17" s="177">
        <v>16</v>
      </c>
      <c r="U17" s="177">
        <v>6</v>
      </c>
      <c r="V17" s="177">
        <v>11</v>
      </c>
    </row>
    <row r="18" spans="1:22" x14ac:dyDescent="0.2">
      <c r="A18" s="158">
        <v>10</v>
      </c>
      <c r="B18" s="171" t="s">
        <v>580</v>
      </c>
      <c r="C18" s="174">
        <v>115</v>
      </c>
      <c r="D18" s="176">
        <v>35</v>
      </c>
      <c r="E18" s="176">
        <v>80</v>
      </c>
      <c r="F18" s="176">
        <v>65</v>
      </c>
      <c r="G18" s="177">
        <v>13</v>
      </c>
      <c r="H18" s="177">
        <v>15</v>
      </c>
      <c r="I18" s="177">
        <v>11</v>
      </c>
      <c r="J18" s="177">
        <v>12</v>
      </c>
      <c r="K18" s="177">
        <v>12</v>
      </c>
      <c r="L18" s="177">
        <v>7</v>
      </c>
      <c r="M18" s="177">
        <v>13</v>
      </c>
      <c r="N18" s="177">
        <v>11</v>
      </c>
      <c r="O18" s="177">
        <v>7</v>
      </c>
      <c r="P18" s="177">
        <v>15</v>
      </c>
      <c r="Q18" s="177">
        <v>25</v>
      </c>
      <c r="R18" s="177">
        <v>23</v>
      </c>
      <c r="S18" s="177">
        <v>14</v>
      </c>
      <c r="T18" s="177">
        <v>21</v>
      </c>
      <c r="U18" s="177">
        <v>0</v>
      </c>
      <c r="V18" s="177">
        <v>9</v>
      </c>
    </row>
    <row r="19" spans="1:22" x14ac:dyDescent="0.2">
      <c r="A19" s="158">
        <v>11</v>
      </c>
      <c r="B19" s="171" t="s">
        <v>581</v>
      </c>
      <c r="C19" s="174">
        <v>115</v>
      </c>
      <c r="D19" s="176">
        <v>35</v>
      </c>
      <c r="E19" s="176">
        <v>80</v>
      </c>
      <c r="F19" s="176">
        <v>35</v>
      </c>
      <c r="G19" s="177">
        <v>11</v>
      </c>
      <c r="H19" s="177">
        <v>15</v>
      </c>
      <c r="I19" s="177">
        <v>10</v>
      </c>
      <c r="J19" s="177">
        <v>15</v>
      </c>
      <c r="K19" s="177">
        <v>10</v>
      </c>
      <c r="L19" s="177">
        <v>11</v>
      </c>
      <c r="M19" s="177">
        <v>10</v>
      </c>
      <c r="N19" s="177">
        <v>14</v>
      </c>
      <c r="O19" s="177">
        <v>19</v>
      </c>
      <c r="P19" s="177">
        <v>17</v>
      </c>
      <c r="Q19" s="177">
        <v>15</v>
      </c>
      <c r="R19" s="177">
        <v>16</v>
      </c>
      <c r="S19" s="177">
        <v>15</v>
      </c>
      <c r="T19" s="177">
        <v>13</v>
      </c>
      <c r="U19" s="177">
        <v>2</v>
      </c>
      <c r="V19" s="177">
        <v>14</v>
      </c>
    </row>
    <row r="20" spans="1:22" x14ac:dyDescent="0.2">
      <c r="A20" s="158">
        <v>12</v>
      </c>
      <c r="B20" s="171" t="s">
        <v>582</v>
      </c>
      <c r="C20" s="174">
        <v>109</v>
      </c>
      <c r="D20" s="176">
        <v>35</v>
      </c>
      <c r="E20" s="176">
        <v>35</v>
      </c>
      <c r="F20" s="176">
        <v>35</v>
      </c>
      <c r="G20" s="177">
        <v>11</v>
      </c>
      <c r="H20" s="177">
        <v>11</v>
      </c>
      <c r="I20" s="177">
        <v>7</v>
      </c>
      <c r="J20" s="177">
        <v>12</v>
      </c>
      <c r="K20" s="177">
        <v>10</v>
      </c>
      <c r="L20" s="177">
        <v>13</v>
      </c>
      <c r="M20" s="177">
        <v>18</v>
      </c>
      <c r="N20" s="177">
        <v>18</v>
      </c>
      <c r="O20" s="177">
        <v>12</v>
      </c>
      <c r="P20" s="177">
        <v>11</v>
      </c>
      <c r="Q20" s="177">
        <v>18</v>
      </c>
      <c r="R20" s="177">
        <v>15</v>
      </c>
      <c r="S20" s="177">
        <v>15</v>
      </c>
      <c r="T20" s="177">
        <v>15</v>
      </c>
      <c r="U20" s="177">
        <v>8</v>
      </c>
      <c r="V20" s="177">
        <v>12</v>
      </c>
    </row>
    <row r="21" spans="1:22" x14ac:dyDescent="0.2">
      <c r="A21" s="158">
        <v>13</v>
      </c>
      <c r="B21" s="171" t="s">
        <v>583</v>
      </c>
      <c r="C21" s="174">
        <v>85</v>
      </c>
      <c r="D21" s="176">
        <v>35</v>
      </c>
      <c r="E21" s="176">
        <v>35</v>
      </c>
      <c r="F21" s="176">
        <v>35</v>
      </c>
      <c r="G21" s="177">
        <v>8</v>
      </c>
      <c r="H21" s="177">
        <v>13</v>
      </c>
      <c r="I21" s="177">
        <v>10</v>
      </c>
      <c r="J21" s="177">
        <v>1</v>
      </c>
      <c r="K21" s="177">
        <v>11</v>
      </c>
      <c r="L21" s="177">
        <v>8</v>
      </c>
      <c r="M21" s="177">
        <v>17</v>
      </c>
      <c r="N21" s="177">
        <v>16</v>
      </c>
      <c r="O21" s="177">
        <v>16</v>
      </c>
      <c r="P21" s="177">
        <v>14</v>
      </c>
      <c r="Q21" s="177">
        <v>12</v>
      </c>
      <c r="R21" s="177">
        <v>21</v>
      </c>
      <c r="S21" s="177">
        <v>13</v>
      </c>
      <c r="T21" s="177">
        <v>15</v>
      </c>
      <c r="U21" s="177">
        <v>4</v>
      </c>
      <c r="V21" s="177">
        <v>15</v>
      </c>
    </row>
    <row r="22" spans="1:22" x14ac:dyDescent="0.2">
      <c r="A22" s="158">
        <v>14</v>
      </c>
      <c r="B22" s="171" t="s">
        <v>584</v>
      </c>
      <c r="C22" s="174">
        <v>89</v>
      </c>
      <c r="D22" s="176">
        <v>35</v>
      </c>
      <c r="E22" s="176">
        <v>80</v>
      </c>
      <c r="F22" s="176">
        <v>35</v>
      </c>
      <c r="G22" s="177">
        <v>11</v>
      </c>
      <c r="H22" s="177">
        <v>18</v>
      </c>
      <c r="I22" s="177">
        <v>8</v>
      </c>
      <c r="J22" s="177">
        <v>18</v>
      </c>
      <c r="K22" s="177">
        <v>12</v>
      </c>
      <c r="L22" s="177">
        <v>8</v>
      </c>
      <c r="M22" s="177">
        <v>14</v>
      </c>
      <c r="N22" s="177">
        <v>14</v>
      </c>
      <c r="O22" s="177">
        <v>16</v>
      </c>
      <c r="P22" s="177">
        <v>9</v>
      </c>
      <c r="Q22" s="177">
        <v>20</v>
      </c>
      <c r="R22" s="177">
        <v>12</v>
      </c>
      <c r="S22" s="177">
        <v>13</v>
      </c>
      <c r="T22" s="177">
        <v>18</v>
      </c>
      <c r="U22" s="177">
        <v>2</v>
      </c>
      <c r="V22" s="177">
        <v>12</v>
      </c>
    </row>
    <row r="23" spans="1:22" x14ac:dyDescent="0.2">
      <c r="A23" s="158">
        <v>15</v>
      </c>
      <c r="B23" s="171" t="s">
        <v>585</v>
      </c>
      <c r="C23" s="174">
        <v>115</v>
      </c>
      <c r="D23" s="176">
        <v>35</v>
      </c>
      <c r="E23" s="176">
        <v>80</v>
      </c>
      <c r="F23" s="176">
        <v>35</v>
      </c>
      <c r="G23" s="177">
        <v>10</v>
      </c>
      <c r="H23" s="177">
        <v>12</v>
      </c>
      <c r="I23" s="177">
        <v>8</v>
      </c>
      <c r="J23" s="177">
        <v>8</v>
      </c>
      <c r="K23" s="177">
        <v>8</v>
      </c>
      <c r="L23" s="177">
        <v>12</v>
      </c>
      <c r="M23" s="177">
        <v>16</v>
      </c>
      <c r="N23" s="177">
        <v>12</v>
      </c>
      <c r="O23" s="177">
        <v>21</v>
      </c>
      <c r="P23" s="177">
        <v>14</v>
      </c>
      <c r="Q23" s="177">
        <v>20</v>
      </c>
      <c r="R23" s="177">
        <v>20</v>
      </c>
      <c r="S23" s="177">
        <v>15</v>
      </c>
      <c r="T23" s="177">
        <v>13</v>
      </c>
      <c r="U23" s="177">
        <v>7</v>
      </c>
      <c r="V23" s="177">
        <v>8</v>
      </c>
    </row>
    <row r="24" spans="1:22" x14ac:dyDescent="0.2">
      <c r="A24" s="158">
        <v>16</v>
      </c>
      <c r="B24" s="171" t="s">
        <v>586</v>
      </c>
      <c r="C24" s="174">
        <v>115</v>
      </c>
      <c r="D24" s="176">
        <v>35</v>
      </c>
      <c r="E24" s="176">
        <v>80</v>
      </c>
      <c r="F24" s="176">
        <v>35</v>
      </c>
      <c r="G24" s="177">
        <v>13</v>
      </c>
      <c r="H24" s="177">
        <v>17</v>
      </c>
      <c r="I24" s="177">
        <v>11</v>
      </c>
      <c r="J24" s="177">
        <v>15</v>
      </c>
      <c r="K24" s="177">
        <v>5</v>
      </c>
      <c r="L24" s="177">
        <v>15</v>
      </c>
      <c r="M24" s="177">
        <v>7</v>
      </c>
      <c r="N24" s="177">
        <v>20</v>
      </c>
      <c r="O24" s="177">
        <v>9</v>
      </c>
      <c r="P24" s="177">
        <v>13</v>
      </c>
      <c r="Q24" s="177">
        <v>20</v>
      </c>
      <c r="R24" s="177">
        <v>12</v>
      </c>
      <c r="S24" s="177">
        <v>17</v>
      </c>
      <c r="T24" s="177">
        <v>19</v>
      </c>
      <c r="U24" s="177">
        <v>1</v>
      </c>
      <c r="V24" s="177">
        <v>13</v>
      </c>
    </row>
    <row r="25" spans="1:22" x14ac:dyDescent="0.2">
      <c r="A25" s="159">
        <v>17</v>
      </c>
      <c r="B25" s="173" t="s">
        <v>587</v>
      </c>
      <c r="C25" s="174">
        <v>80</v>
      </c>
      <c r="D25" s="176">
        <v>35</v>
      </c>
      <c r="E25" s="176">
        <v>35</v>
      </c>
      <c r="F25" s="176">
        <v>35</v>
      </c>
      <c r="G25" s="177">
        <v>11</v>
      </c>
      <c r="H25" s="177">
        <v>11</v>
      </c>
      <c r="I25" s="177">
        <v>11</v>
      </c>
      <c r="J25" s="177">
        <v>10</v>
      </c>
      <c r="K25" s="177">
        <v>10</v>
      </c>
      <c r="L25" s="177">
        <v>11</v>
      </c>
      <c r="M25" s="177">
        <v>22</v>
      </c>
      <c r="N25" s="177">
        <v>18</v>
      </c>
      <c r="O25" s="177">
        <v>14</v>
      </c>
      <c r="P25" s="177">
        <v>12</v>
      </c>
      <c r="Q25" s="177">
        <v>17</v>
      </c>
      <c r="R25" s="177">
        <v>14</v>
      </c>
      <c r="S25" s="177">
        <v>19</v>
      </c>
      <c r="T25" s="177">
        <v>12</v>
      </c>
      <c r="U25" s="177">
        <v>5</v>
      </c>
      <c r="V25" s="177">
        <v>12</v>
      </c>
    </row>
    <row r="26" spans="1:22" x14ac:dyDescent="0.2">
      <c r="A26" s="158">
        <v>18</v>
      </c>
      <c r="B26" s="171" t="s">
        <v>588</v>
      </c>
      <c r="C26" s="174">
        <v>80</v>
      </c>
      <c r="D26" s="176">
        <v>35</v>
      </c>
      <c r="E26" s="176">
        <v>80</v>
      </c>
      <c r="F26" s="176">
        <v>35</v>
      </c>
      <c r="G26" s="177">
        <v>12</v>
      </c>
      <c r="H26" s="177">
        <v>12</v>
      </c>
      <c r="I26" s="177">
        <v>12</v>
      </c>
      <c r="J26" s="177">
        <v>15</v>
      </c>
      <c r="K26" s="177">
        <v>15</v>
      </c>
      <c r="L26" s="177">
        <v>7</v>
      </c>
      <c r="M26" s="177">
        <v>10</v>
      </c>
      <c r="N26" s="177">
        <v>13</v>
      </c>
      <c r="O26" s="177">
        <v>17</v>
      </c>
      <c r="P26" s="177">
        <v>10</v>
      </c>
      <c r="Q26" s="177">
        <v>16</v>
      </c>
      <c r="R26" s="177">
        <v>18</v>
      </c>
      <c r="S26" s="177">
        <v>22</v>
      </c>
      <c r="T26" s="177">
        <v>16</v>
      </c>
      <c r="U26" s="177">
        <v>0</v>
      </c>
      <c r="V26" s="177">
        <v>11</v>
      </c>
    </row>
    <row r="27" spans="1:22" x14ac:dyDescent="0.2">
      <c r="A27" s="158">
        <v>19</v>
      </c>
      <c r="B27" s="171" t="s">
        <v>589</v>
      </c>
      <c r="C27" s="174">
        <v>110</v>
      </c>
      <c r="D27" s="176">
        <v>35</v>
      </c>
      <c r="E27" s="176">
        <v>80</v>
      </c>
      <c r="F27" s="176">
        <v>65</v>
      </c>
      <c r="G27" s="177">
        <v>11</v>
      </c>
      <c r="H27" s="177">
        <v>16</v>
      </c>
      <c r="I27" s="177">
        <v>8</v>
      </c>
      <c r="J27" s="177">
        <v>6</v>
      </c>
      <c r="K27" s="177">
        <v>12</v>
      </c>
      <c r="L27" s="177">
        <v>7</v>
      </c>
      <c r="M27" s="177">
        <v>20</v>
      </c>
      <c r="N27" s="177">
        <v>21</v>
      </c>
      <c r="O27" s="177">
        <v>15</v>
      </c>
      <c r="P27" s="177">
        <v>16</v>
      </c>
      <c r="Q27" s="177">
        <v>14</v>
      </c>
      <c r="R27" s="177">
        <v>22</v>
      </c>
      <c r="S27" s="177">
        <v>16</v>
      </c>
      <c r="T27" s="177">
        <v>8</v>
      </c>
      <c r="U27" s="177">
        <v>1</v>
      </c>
      <c r="V27" s="177">
        <v>11</v>
      </c>
    </row>
    <row r="28" spans="1:22" x14ac:dyDescent="0.2">
      <c r="A28" s="158">
        <v>20</v>
      </c>
      <c r="B28" s="171" t="s">
        <v>590</v>
      </c>
      <c r="C28" s="174">
        <v>89</v>
      </c>
      <c r="D28" s="176">
        <v>35</v>
      </c>
      <c r="E28" s="176">
        <v>80</v>
      </c>
      <c r="F28" s="176">
        <v>35</v>
      </c>
      <c r="G28" s="177">
        <v>13</v>
      </c>
      <c r="H28" s="177">
        <v>13</v>
      </c>
      <c r="I28" s="177">
        <v>11</v>
      </c>
      <c r="J28" s="177">
        <v>15</v>
      </c>
      <c r="K28" s="177">
        <v>8</v>
      </c>
      <c r="L28" s="177">
        <v>13</v>
      </c>
      <c r="M28" s="177">
        <v>19</v>
      </c>
      <c r="N28" s="177">
        <v>14</v>
      </c>
      <c r="O28" s="177">
        <v>19</v>
      </c>
      <c r="P28" s="177">
        <v>10</v>
      </c>
      <c r="Q28" s="177">
        <v>24</v>
      </c>
      <c r="R28" s="177">
        <v>15</v>
      </c>
      <c r="S28" s="177">
        <v>9</v>
      </c>
      <c r="T28" s="177">
        <v>17</v>
      </c>
      <c r="U28" s="177">
        <v>1</v>
      </c>
      <c r="V28" s="177">
        <v>8</v>
      </c>
    </row>
    <row r="29" spans="1:22" x14ac:dyDescent="0.2">
      <c r="A29" s="158">
        <v>21</v>
      </c>
      <c r="B29" s="171" t="s">
        <v>591</v>
      </c>
      <c r="C29" s="174">
        <v>90</v>
      </c>
      <c r="D29" s="176">
        <v>35</v>
      </c>
      <c r="E29" s="176">
        <v>80</v>
      </c>
      <c r="F29" s="176">
        <v>35</v>
      </c>
      <c r="G29" s="177">
        <v>9</v>
      </c>
      <c r="H29" s="177">
        <v>12</v>
      </c>
      <c r="I29" s="177">
        <v>14</v>
      </c>
      <c r="J29" s="177">
        <v>13</v>
      </c>
      <c r="K29" s="177">
        <v>13</v>
      </c>
      <c r="L29" s="177">
        <v>14</v>
      </c>
      <c r="M29" s="177">
        <v>11</v>
      </c>
      <c r="N29" s="177">
        <v>13</v>
      </c>
      <c r="O29" s="177">
        <v>12</v>
      </c>
      <c r="P29" s="177">
        <v>15</v>
      </c>
      <c r="Q29" s="177">
        <v>16</v>
      </c>
      <c r="R29" s="177">
        <v>16</v>
      </c>
      <c r="S29" s="177">
        <v>11</v>
      </c>
      <c r="T29" s="177">
        <v>18</v>
      </c>
      <c r="U29" s="177">
        <v>7</v>
      </c>
      <c r="V29" s="177">
        <v>11</v>
      </c>
    </row>
    <row r="30" spans="1:22" x14ac:dyDescent="0.2">
      <c r="A30" s="158">
        <v>22</v>
      </c>
      <c r="B30" s="171" t="s">
        <v>592</v>
      </c>
      <c r="C30" s="174">
        <v>110</v>
      </c>
      <c r="D30" s="176">
        <v>35</v>
      </c>
      <c r="E30" s="176">
        <v>80</v>
      </c>
      <c r="F30" s="176">
        <v>65</v>
      </c>
      <c r="G30" s="177">
        <v>13</v>
      </c>
      <c r="H30" s="177">
        <v>17</v>
      </c>
      <c r="I30" s="177">
        <v>8</v>
      </c>
      <c r="J30" s="177">
        <v>14</v>
      </c>
      <c r="K30" s="177">
        <v>7</v>
      </c>
      <c r="L30" s="177">
        <v>4</v>
      </c>
      <c r="M30" s="177">
        <v>11</v>
      </c>
      <c r="N30" s="177">
        <v>20</v>
      </c>
      <c r="O30" s="177">
        <v>18</v>
      </c>
      <c r="P30" s="177">
        <v>11</v>
      </c>
      <c r="Q30" s="177">
        <v>19</v>
      </c>
      <c r="R30" s="177">
        <v>20</v>
      </c>
      <c r="S30" s="177">
        <v>13</v>
      </c>
      <c r="T30" s="177">
        <v>23</v>
      </c>
      <c r="U30" s="177">
        <v>2</v>
      </c>
      <c r="V30" s="177">
        <v>8</v>
      </c>
    </row>
    <row r="31" spans="1:22" x14ac:dyDescent="0.2">
      <c r="A31" s="158">
        <v>23</v>
      </c>
      <c r="B31" s="171" t="s">
        <v>593</v>
      </c>
      <c r="C31" s="174">
        <v>85</v>
      </c>
      <c r="D31" s="176">
        <v>35</v>
      </c>
      <c r="E31" s="176">
        <v>80</v>
      </c>
      <c r="F31" s="176">
        <v>35</v>
      </c>
      <c r="G31" s="177">
        <v>12</v>
      </c>
      <c r="H31" s="177">
        <v>9</v>
      </c>
      <c r="I31" s="177">
        <v>15</v>
      </c>
      <c r="J31" s="177">
        <v>8</v>
      </c>
      <c r="K31" s="177">
        <v>13</v>
      </c>
      <c r="L31" s="177">
        <v>8</v>
      </c>
      <c r="M31" s="177">
        <v>14</v>
      </c>
      <c r="N31" s="177">
        <v>18</v>
      </c>
      <c r="O31" s="177">
        <v>20</v>
      </c>
      <c r="P31" s="177">
        <v>10</v>
      </c>
      <c r="Q31" s="177">
        <v>23</v>
      </c>
      <c r="R31" s="177">
        <v>17</v>
      </c>
      <c r="S31" s="177">
        <v>16</v>
      </c>
      <c r="T31" s="177">
        <v>14</v>
      </c>
      <c r="U31" s="177">
        <v>2</v>
      </c>
      <c r="V31" s="177">
        <v>7</v>
      </c>
    </row>
    <row r="32" spans="1:22" x14ac:dyDescent="0.2">
      <c r="A32" s="158">
        <v>24</v>
      </c>
      <c r="B32" s="171" t="s">
        <v>594</v>
      </c>
      <c r="C32" s="174">
        <v>115</v>
      </c>
      <c r="D32" s="176">
        <v>35</v>
      </c>
      <c r="E32" s="176">
        <v>35</v>
      </c>
      <c r="F32" s="176">
        <v>65</v>
      </c>
      <c r="G32" s="177">
        <v>13</v>
      </c>
      <c r="H32" s="177">
        <v>16</v>
      </c>
      <c r="I32" s="177">
        <v>11</v>
      </c>
      <c r="J32" s="177">
        <v>15</v>
      </c>
      <c r="K32" s="177">
        <v>13</v>
      </c>
      <c r="L32" s="177">
        <v>4</v>
      </c>
      <c r="M32" s="177">
        <v>14</v>
      </c>
      <c r="N32" s="177">
        <v>10</v>
      </c>
      <c r="O32" s="177">
        <v>14</v>
      </c>
      <c r="P32" s="177">
        <v>14</v>
      </c>
      <c r="Q32" s="177">
        <v>21</v>
      </c>
      <c r="R32" s="177">
        <v>23</v>
      </c>
      <c r="S32" s="177">
        <v>14</v>
      </c>
      <c r="T32" s="177">
        <v>19</v>
      </c>
      <c r="U32" s="177">
        <v>1</v>
      </c>
      <c r="V32" s="177">
        <v>4</v>
      </c>
    </row>
    <row r="33" spans="1:22" x14ac:dyDescent="0.2">
      <c r="A33" s="158">
        <v>25</v>
      </c>
      <c r="B33" s="171" t="s">
        <v>595</v>
      </c>
      <c r="C33" s="174">
        <v>90</v>
      </c>
      <c r="D33" s="176">
        <v>35</v>
      </c>
      <c r="E33" s="176">
        <v>80</v>
      </c>
      <c r="F33" s="176">
        <v>35</v>
      </c>
      <c r="G33" s="177">
        <v>11</v>
      </c>
      <c r="H33" s="177">
        <v>16</v>
      </c>
      <c r="I33" s="177">
        <v>11</v>
      </c>
      <c r="J33" s="177">
        <v>11</v>
      </c>
      <c r="K33" s="177">
        <v>10</v>
      </c>
      <c r="L33" s="177">
        <v>11</v>
      </c>
      <c r="M33" s="177">
        <v>12</v>
      </c>
      <c r="N33" s="177">
        <v>16</v>
      </c>
      <c r="O33" s="177">
        <v>9</v>
      </c>
      <c r="P33" s="177">
        <v>11</v>
      </c>
      <c r="Q33" s="177">
        <v>20</v>
      </c>
      <c r="R33" s="177">
        <v>21</v>
      </c>
      <c r="S33" s="177">
        <v>29</v>
      </c>
      <c r="T33" s="177">
        <v>20</v>
      </c>
      <c r="U33" s="177">
        <v>0</v>
      </c>
      <c r="V33" s="177">
        <v>8</v>
      </c>
    </row>
    <row r="34" spans="1:22" x14ac:dyDescent="0.2">
      <c r="A34" s="158"/>
      <c r="B34" s="171"/>
      <c r="C34" s="174"/>
      <c r="D34" s="176"/>
      <c r="E34" s="176"/>
      <c r="F34" s="176"/>
      <c r="G34" s="177"/>
      <c r="H34" s="177"/>
      <c r="I34" s="177"/>
      <c r="J34" s="177"/>
      <c r="K34" s="177"/>
      <c r="L34" s="177"/>
      <c r="M34" s="177"/>
      <c r="N34" s="177"/>
      <c r="O34" s="177"/>
      <c r="P34" s="177"/>
      <c r="Q34" s="177"/>
      <c r="R34" s="177"/>
      <c r="S34" s="177"/>
      <c r="T34" s="177"/>
      <c r="U34" s="177"/>
      <c r="V34" s="177"/>
    </row>
    <row r="35" spans="1:22" x14ac:dyDescent="0.2">
      <c r="A35" s="158"/>
      <c r="B35" s="171"/>
      <c r="C35" s="174"/>
      <c r="D35" s="176"/>
      <c r="E35" s="176"/>
      <c r="F35" s="176"/>
      <c r="G35" s="177"/>
      <c r="H35" s="177"/>
      <c r="I35" s="177"/>
      <c r="J35" s="177"/>
      <c r="K35" s="177"/>
      <c r="L35" s="177"/>
      <c r="M35" s="177"/>
      <c r="N35" s="177"/>
      <c r="O35" s="177"/>
      <c r="P35" s="177"/>
      <c r="Q35" s="177"/>
      <c r="R35" s="177"/>
      <c r="S35" s="177"/>
      <c r="T35" s="177"/>
      <c r="U35" s="177"/>
      <c r="V35" s="177"/>
    </row>
    <row r="36" spans="1:22" x14ac:dyDescent="0.2">
      <c r="A36" s="158"/>
      <c r="B36" s="171"/>
      <c r="C36" s="174"/>
      <c r="D36" s="176"/>
      <c r="E36" s="176"/>
      <c r="F36" s="176"/>
      <c r="G36" s="177"/>
      <c r="H36" s="177"/>
      <c r="I36" s="177"/>
      <c r="J36" s="177"/>
      <c r="K36" s="177"/>
      <c r="L36" s="177"/>
      <c r="M36" s="177"/>
      <c r="N36" s="177"/>
      <c r="O36" s="177"/>
      <c r="P36" s="177"/>
      <c r="Q36" s="177"/>
      <c r="R36" s="177"/>
      <c r="S36" s="177"/>
      <c r="T36" s="177"/>
      <c r="U36" s="177"/>
      <c r="V36" s="177"/>
    </row>
    <row r="37" spans="1:22" x14ac:dyDescent="0.2">
      <c r="A37" s="158"/>
      <c r="B37" s="171"/>
      <c r="C37" s="174"/>
      <c r="D37" s="176"/>
      <c r="E37" s="176"/>
      <c r="F37" s="176"/>
      <c r="G37" s="177"/>
      <c r="H37" s="177"/>
      <c r="I37" s="177"/>
      <c r="J37" s="177"/>
      <c r="K37" s="177"/>
      <c r="L37" s="177"/>
      <c r="M37" s="177"/>
      <c r="N37" s="177"/>
      <c r="O37" s="177"/>
      <c r="P37" s="177"/>
      <c r="Q37" s="177"/>
      <c r="R37" s="177"/>
      <c r="S37" s="177"/>
      <c r="T37" s="177"/>
      <c r="U37" s="177"/>
      <c r="V37" s="177"/>
    </row>
    <row r="38" spans="1:22" x14ac:dyDescent="0.2">
      <c r="A38" s="158"/>
      <c r="B38" s="171"/>
      <c r="C38" s="174"/>
      <c r="D38" s="176"/>
      <c r="E38" s="176"/>
      <c r="F38" s="176"/>
      <c r="G38" s="177"/>
      <c r="H38" s="177"/>
      <c r="I38" s="177"/>
      <c r="J38" s="177"/>
      <c r="K38" s="177"/>
      <c r="L38" s="177"/>
      <c r="M38" s="177"/>
      <c r="N38" s="177"/>
      <c r="O38" s="177"/>
      <c r="P38" s="177"/>
      <c r="Q38" s="177"/>
      <c r="R38" s="177"/>
      <c r="S38" s="177"/>
      <c r="T38" s="177"/>
      <c r="U38" s="177"/>
      <c r="V38" s="177"/>
    </row>
    <row r="39" spans="1:22" x14ac:dyDescent="0.2">
      <c r="A39" s="158"/>
      <c r="B39" s="171"/>
      <c r="C39" s="174"/>
      <c r="D39" s="176"/>
      <c r="E39" s="176"/>
      <c r="F39" s="176"/>
      <c r="G39" s="177"/>
      <c r="H39" s="177"/>
      <c r="I39" s="177"/>
      <c r="J39" s="177"/>
      <c r="K39" s="177"/>
      <c r="L39" s="177"/>
      <c r="M39" s="177"/>
      <c r="N39" s="177"/>
      <c r="O39" s="177"/>
      <c r="P39" s="177"/>
      <c r="Q39" s="177"/>
      <c r="R39" s="177"/>
      <c r="S39" s="177"/>
      <c r="T39" s="177"/>
      <c r="U39" s="177"/>
      <c r="V39" s="177"/>
    </row>
  </sheetData>
  <mergeCells count="9">
    <mergeCell ref="A3:V3"/>
    <mergeCell ref="A4:V4"/>
    <mergeCell ref="A5:V5"/>
    <mergeCell ref="A6:V6"/>
    <mergeCell ref="A7:A8"/>
    <mergeCell ref="B7:B8"/>
    <mergeCell ref="C7:C8"/>
    <mergeCell ref="D7:F7"/>
    <mergeCell ref="G7:V7"/>
  </mergeCells>
  <pageMargins left="0.45" right="0.2" top="0.5" bottom="0.5" header="0.3" footer="0.3"/>
  <pageSetup paperSize="9" scale="85"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97D9C-A5CB-41FE-B58C-B536B58F04DC}">
  <dimension ref="A3:AI45"/>
  <sheetViews>
    <sheetView view="pageBreakPreview" zoomScaleNormal="100" zoomScaleSheetLayoutView="100" workbookViewId="0">
      <selection activeCell="D9" sqref="D9:F45"/>
    </sheetView>
  </sheetViews>
  <sheetFormatPr defaultColWidth="11.43359375" defaultRowHeight="15" x14ac:dyDescent="0.2"/>
  <cols>
    <col min="1" max="1" width="5.24609375" customWidth="1"/>
    <col min="2" max="2" width="48.42578125" bestFit="1" customWidth="1"/>
    <col min="3" max="3" width="7.80078125" customWidth="1"/>
    <col min="4" max="22" width="5.91796875" customWidth="1"/>
  </cols>
  <sheetData>
    <row r="3" spans="1:35" ht="21.75" x14ac:dyDescent="0.3">
      <c r="A3" s="181" t="s">
        <v>420</v>
      </c>
      <c r="B3" s="181"/>
      <c r="C3" s="181"/>
      <c r="D3" s="181"/>
      <c r="E3" s="181"/>
      <c r="F3" s="181"/>
      <c r="G3" s="181"/>
      <c r="H3" s="181"/>
      <c r="I3" s="181"/>
      <c r="J3" s="181"/>
      <c r="K3" s="181"/>
      <c r="L3" s="181"/>
      <c r="M3" s="181"/>
      <c r="N3" s="181"/>
      <c r="O3" s="181"/>
      <c r="P3" s="181"/>
      <c r="Q3" s="181"/>
      <c r="R3" s="181"/>
      <c r="S3" s="181"/>
      <c r="T3" s="181"/>
      <c r="U3" s="181"/>
      <c r="V3" s="181"/>
      <c r="W3" s="160"/>
      <c r="X3" s="160"/>
      <c r="Y3" s="160"/>
      <c r="Z3" s="160"/>
      <c r="AA3" s="160"/>
      <c r="AB3" s="160"/>
      <c r="AC3" s="160"/>
      <c r="AD3" s="160"/>
      <c r="AE3" s="160"/>
      <c r="AF3" s="160"/>
      <c r="AG3" s="160"/>
      <c r="AH3" s="160"/>
      <c r="AI3" s="160"/>
    </row>
    <row r="4" spans="1:35" ht="18.75" x14ac:dyDescent="0.25">
      <c r="A4" s="182" t="s">
        <v>421</v>
      </c>
      <c r="B4" s="182"/>
      <c r="C4" s="182"/>
      <c r="D4" s="182"/>
      <c r="E4" s="182"/>
      <c r="F4" s="182"/>
      <c r="G4" s="182"/>
      <c r="H4" s="182"/>
      <c r="I4" s="182"/>
      <c r="J4" s="182"/>
      <c r="K4" s="182"/>
      <c r="L4" s="182"/>
      <c r="M4" s="182"/>
      <c r="N4" s="182"/>
      <c r="O4" s="182"/>
      <c r="P4" s="182"/>
      <c r="Q4" s="182"/>
      <c r="R4" s="182"/>
      <c r="S4" s="182"/>
      <c r="T4" s="182"/>
      <c r="U4" s="182"/>
      <c r="V4" s="182"/>
      <c r="W4" s="161"/>
      <c r="X4" s="161"/>
      <c r="Y4" s="161"/>
      <c r="Z4" s="161"/>
      <c r="AA4" s="161"/>
      <c r="AB4" s="161"/>
      <c r="AC4" s="161"/>
      <c r="AD4" s="161"/>
      <c r="AE4" s="161"/>
      <c r="AF4" s="161"/>
      <c r="AG4" s="161"/>
      <c r="AH4" s="161"/>
      <c r="AI4" s="161"/>
    </row>
    <row r="5" spans="1:35" ht="18.75" x14ac:dyDescent="0.25">
      <c r="A5" s="182" t="s">
        <v>596</v>
      </c>
      <c r="B5" s="182"/>
      <c r="C5" s="182"/>
      <c r="D5" s="182"/>
      <c r="E5" s="182"/>
      <c r="F5" s="182"/>
      <c r="G5" s="182"/>
      <c r="H5" s="182"/>
      <c r="I5" s="182"/>
      <c r="J5" s="182"/>
      <c r="K5" s="182"/>
      <c r="L5" s="182"/>
      <c r="M5" s="182"/>
      <c r="N5" s="182"/>
      <c r="O5" s="182"/>
      <c r="P5" s="182"/>
      <c r="Q5" s="182"/>
      <c r="R5" s="182"/>
      <c r="S5" s="182"/>
      <c r="T5" s="182"/>
      <c r="U5" s="182"/>
      <c r="V5" s="182"/>
      <c r="W5" s="161"/>
      <c r="X5" s="161"/>
      <c r="Y5" s="161"/>
      <c r="Z5" s="161"/>
      <c r="AA5" s="161"/>
      <c r="AB5" s="161"/>
      <c r="AC5" s="161"/>
      <c r="AD5" s="161"/>
      <c r="AE5" s="161"/>
      <c r="AF5" s="161"/>
      <c r="AG5" s="161"/>
      <c r="AH5" s="161"/>
      <c r="AI5" s="161"/>
    </row>
    <row r="6" spans="1:35" x14ac:dyDescent="0.2">
      <c r="A6" s="186"/>
      <c r="B6" s="186"/>
      <c r="C6" s="186"/>
      <c r="D6" s="186"/>
      <c r="E6" s="186"/>
      <c r="F6" s="186"/>
      <c r="G6" s="186"/>
      <c r="H6" s="186"/>
      <c r="I6" s="186"/>
      <c r="J6" s="186"/>
      <c r="K6" s="186"/>
      <c r="L6" s="186"/>
      <c r="M6" s="186"/>
      <c r="N6" s="186"/>
      <c r="O6" s="186"/>
      <c r="P6" s="186"/>
      <c r="Q6" s="186"/>
      <c r="R6" s="186"/>
      <c r="S6" s="186"/>
      <c r="T6" s="186"/>
      <c r="U6" s="186"/>
      <c r="V6" s="186"/>
    </row>
    <row r="7" spans="1:35" x14ac:dyDescent="0.2">
      <c r="A7" s="187" t="s">
        <v>0</v>
      </c>
      <c r="B7" s="187" t="s">
        <v>379</v>
      </c>
      <c r="C7" s="187" t="s">
        <v>2</v>
      </c>
      <c r="D7" s="187" t="s">
        <v>417</v>
      </c>
      <c r="E7" s="187"/>
      <c r="F7" s="187"/>
      <c r="G7" s="183" t="s">
        <v>418</v>
      </c>
      <c r="H7" s="184"/>
      <c r="I7" s="184"/>
      <c r="J7" s="184"/>
      <c r="K7" s="184"/>
      <c r="L7" s="184"/>
      <c r="M7" s="184"/>
      <c r="N7" s="184"/>
      <c r="O7" s="184"/>
      <c r="P7" s="184"/>
      <c r="Q7" s="184"/>
      <c r="R7" s="184"/>
      <c r="S7" s="184"/>
      <c r="T7" s="184"/>
      <c r="U7" s="184"/>
      <c r="V7" s="185"/>
    </row>
    <row r="8" spans="1:35" x14ac:dyDescent="0.2">
      <c r="A8" s="187"/>
      <c r="B8" s="187"/>
      <c r="C8" s="187"/>
      <c r="D8" s="162">
        <v>1</v>
      </c>
      <c r="E8" s="162">
        <v>2</v>
      </c>
      <c r="F8" s="162">
        <v>3</v>
      </c>
      <c r="G8" s="162">
        <v>1</v>
      </c>
      <c r="H8" s="162">
        <v>2</v>
      </c>
      <c r="I8" s="162">
        <v>3</v>
      </c>
      <c r="J8" s="162">
        <v>4</v>
      </c>
      <c r="K8" s="162">
        <v>5</v>
      </c>
      <c r="L8" s="162">
        <v>6</v>
      </c>
      <c r="M8" s="162">
        <v>7</v>
      </c>
      <c r="N8" s="162">
        <v>8</v>
      </c>
      <c r="O8" s="162">
        <v>9</v>
      </c>
      <c r="P8" s="162">
        <v>10</v>
      </c>
      <c r="Q8" s="162">
        <v>11</v>
      </c>
      <c r="R8" s="162">
        <v>12</v>
      </c>
      <c r="S8" s="162">
        <v>13</v>
      </c>
      <c r="T8" s="162">
        <v>14</v>
      </c>
      <c r="U8" s="162">
        <v>15</v>
      </c>
      <c r="V8" s="162">
        <v>16</v>
      </c>
    </row>
    <row r="9" spans="1:35" x14ac:dyDescent="0.2">
      <c r="A9" s="158">
        <v>1</v>
      </c>
      <c r="B9" s="171" t="s">
        <v>597</v>
      </c>
      <c r="C9" s="174">
        <v>115</v>
      </c>
      <c r="D9" s="176">
        <v>35</v>
      </c>
      <c r="E9" s="176">
        <v>80</v>
      </c>
      <c r="F9" s="176">
        <v>65</v>
      </c>
      <c r="G9" s="177">
        <v>11</v>
      </c>
      <c r="H9" s="177">
        <v>14</v>
      </c>
      <c r="I9" s="177">
        <v>19</v>
      </c>
      <c r="J9" s="177">
        <v>12</v>
      </c>
      <c r="K9" s="177">
        <v>12</v>
      </c>
      <c r="L9" s="177">
        <v>8</v>
      </c>
      <c r="M9" s="177">
        <v>9</v>
      </c>
      <c r="N9" s="177">
        <v>10</v>
      </c>
      <c r="O9" s="177">
        <v>7</v>
      </c>
      <c r="P9" s="177">
        <v>5</v>
      </c>
      <c r="Q9" s="177">
        <v>21</v>
      </c>
      <c r="R9" s="177">
        <v>9</v>
      </c>
      <c r="S9" s="177">
        <v>16</v>
      </c>
      <c r="T9" s="177">
        <v>18</v>
      </c>
      <c r="U9" s="177">
        <v>13</v>
      </c>
      <c r="V9" s="177">
        <v>9</v>
      </c>
    </row>
    <row r="10" spans="1:35" x14ac:dyDescent="0.2">
      <c r="A10" s="158">
        <v>2</v>
      </c>
      <c r="B10" s="171" t="s">
        <v>598</v>
      </c>
      <c r="C10" s="174">
        <v>109</v>
      </c>
      <c r="D10" s="176">
        <v>35</v>
      </c>
      <c r="E10" s="176">
        <v>80</v>
      </c>
      <c r="F10" s="176">
        <v>35</v>
      </c>
      <c r="G10" s="177">
        <v>11</v>
      </c>
      <c r="H10" s="177">
        <v>19</v>
      </c>
      <c r="I10" s="177">
        <v>10</v>
      </c>
      <c r="J10" s="177">
        <v>10</v>
      </c>
      <c r="K10" s="177">
        <v>12</v>
      </c>
      <c r="L10" s="177">
        <v>11</v>
      </c>
      <c r="M10" s="177">
        <v>11</v>
      </c>
      <c r="N10" s="177">
        <v>17</v>
      </c>
      <c r="O10" s="177">
        <v>10</v>
      </c>
      <c r="P10" s="177">
        <v>17</v>
      </c>
      <c r="Q10" s="177">
        <v>14</v>
      </c>
      <c r="R10" s="177">
        <v>12</v>
      </c>
      <c r="S10" s="177">
        <v>20</v>
      </c>
      <c r="T10" s="177">
        <v>11</v>
      </c>
      <c r="U10" s="177">
        <v>2</v>
      </c>
      <c r="V10" s="177">
        <v>16</v>
      </c>
    </row>
    <row r="11" spans="1:35" x14ac:dyDescent="0.2">
      <c r="A11" s="158">
        <v>3</v>
      </c>
      <c r="B11" s="171" t="s">
        <v>599</v>
      </c>
      <c r="C11" s="174">
        <v>80</v>
      </c>
      <c r="D11" s="176">
        <v>35</v>
      </c>
      <c r="E11" s="176">
        <v>80</v>
      </c>
      <c r="F11" s="176">
        <v>35</v>
      </c>
      <c r="G11" s="177">
        <v>10</v>
      </c>
      <c r="H11" s="177">
        <v>13</v>
      </c>
      <c r="I11" s="177">
        <v>9</v>
      </c>
      <c r="J11" s="177">
        <v>11</v>
      </c>
      <c r="K11" s="177">
        <v>8</v>
      </c>
      <c r="L11" s="177">
        <v>13</v>
      </c>
      <c r="M11" s="177">
        <v>13</v>
      </c>
      <c r="N11" s="177">
        <v>13</v>
      </c>
      <c r="O11" s="177">
        <v>15</v>
      </c>
      <c r="P11" s="177">
        <v>7</v>
      </c>
      <c r="Q11" s="177">
        <v>21</v>
      </c>
      <c r="R11" s="177">
        <v>23</v>
      </c>
      <c r="S11" s="177">
        <v>11</v>
      </c>
      <c r="T11" s="177">
        <v>18</v>
      </c>
      <c r="U11" s="177">
        <v>3</v>
      </c>
      <c r="V11" s="177">
        <v>12</v>
      </c>
    </row>
    <row r="12" spans="1:35" x14ac:dyDescent="0.2">
      <c r="A12" s="158">
        <v>4</v>
      </c>
      <c r="B12" s="171" t="s">
        <v>600</v>
      </c>
      <c r="C12" s="174">
        <v>80</v>
      </c>
      <c r="D12" s="176">
        <v>35</v>
      </c>
      <c r="E12" s="176">
        <v>35</v>
      </c>
      <c r="F12" s="176">
        <v>35</v>
      </c>
      <c r="G12" s="177">
        <v>8</v>
      </c>
      <c r="H12" s="177">
        <v>10</v>
      </c>
      <c r="I12" s="177">
        <v>19</v>
      </c>
      <c r="J12" s="177">
        <v>11</v>
      </c>
      <c r="K12" s="177">
        <v>12</v>
      </c>
      <c r="L12" s="177">
        <v>13</v>
      </c>
      <c r="M12" s="177">
        <v>12</v>
      </c>
      <c r="N12" s="177">
        <v>16</v>
      </c>
      <c r="O12" s="177">
        <v>10</v>
      </c>
      <c r="P12" s="177">
        <v>14</v>
      </c>
      <c r="Q12" s="177">
        <v>13</v>
      </c>
      <c r="R12" s="177">
        <v>15</v>
      </c>
      <c r="S12" s="177">
        <v>11</v>
      </c>
      <c r="T12" s="177">
        <v>14</v>
      </c>
      <c r="U12" s="177">
        <v>10</v>
      </c>
      <c r="V12" s="177">
        <v>11</v>
      </c>
    </row>
    <row r="13" spans="1:35" x14ac:dyDescent="0.2">
      <c r="A13" s="158">
        <v>5</v>
      </c>
      <c r="B13" s="171" t="s">
        <v>601</v>
      </c>
      <c r="C13" s="174">
        <v>115</v>
      </c>
      <c r="D13" s="176">
        <v>35</v>
      </c>
      <c r="E13" s="176">
        <v>80</v>
      </c>
      <c r="F13" s="176">
        <v>35</v>
      </c>
      <c r="G13" s="177">
        <v>11</v>
      </c>
      <c r="H13" s="177">
        <v>14</v>
      </c>
      <c r="I13" s="177">
        <v>17</v>
      </c>
      <c r="J13" s="177">
        <v>10</v>
      </c>
      <c r="K13" s="177">
        <v>11</v>
      </c>
      <c r="L13" s="177">
        <v>2</v>
      </c>
      <c r="M13" s="177">
        <v>13</v>
      </c>
      <c r="N13" s="177">
        <v>15</v>
      </c>
      <c r="O13" s="177">
        <v>15</v>
      </c>
      <c r="P13" s="177">
        <v>9</v>
      </c>
      <c r="Q13" s="177">
        <v>21</v>
      </c>
      <c r="R13" s="177">
        <v>13</v>
      </c>
      <c r="S13" s="177">
        <v>21</v>
      </c>
      <c r="T13" s="177">
        <v>24</v>
      </c>
      <c r="U13" s="177">
        <v>3</v>
      </c>
      <c r="V13" s="177">
        <v>7</v>
      </c>
    </row>
    <row r="14" spans="1:35" x14ac:dyDescent="0.2">
      <c r="A14" s="158">
        <v>6</v>
      </c>
      <c r="B14" s="172" t="s">
        <v>602</v>
      </c>
      <c r="C14" s="175"/>
      <c r="D14" s="175"/>
      <c r="E14" s="175"/>
      <c r="F14" s="175"/>
      <c r="G14" s="175"/>
      <c r="H14" s="175"/>
      <c r="I14" s="175"/>
      <c r="J14" s="175"/>
      <c r="K14" s="175"/>
      <c r="L14" s="175"/>
      <c r="M14" s="175"/>
      <c r="N14" s="175"/>
      <c r="O14" s="175"/>
      <c r="P14" s="175"/>
      <c r="Q14" s="175"/>
      <c r="R14" s="175"/>
      <c r="S14" s="175"/>
      <c r="T14" s="175"/>
      <c r="U14" s="175"/>
      <c r="V14" s="175"/>
    </row>
    <row r="15" spans="1:35" x14ac:dyDescent="0.2">
      <c r="A15" s="158">
        <v>7</v>
      </c>
      <c r="B15" s="171" t="s">
        <v>603</v>
      </c>
      <c r="C15" s="174">
        <v>80</v>
      </c>
      <c r="D15" s="176">
        <v>35</v>
      </c>
      <c r="E15" s="176">
        <v>35</v>
      </c>
      <c r="F15" s="176">
        <v>35</v>
      </c>
      <c r="G15" s="177">
        <v>12</v>
      </c>
      <c r="H15" s="177">
        <v>16</v>
      </c>
      <c r="I15" s="177">
        <v>14</v>
      </c>
      <c r="J15" s="177">
        <v>10</v>
      </c>
      <c r="K15" s="177">
        <v>13</v>
      </c>
      <c r="L15" s="177">
        <v>10</v>
      </c>
      <c r="M15" s="177">
        <v>14</v>
      </c>
      <c r="N15" s="177">
        <v>18</v>
      </c>
      <c r="O15" s="177">
        <v>7</v>
      </c>
      <c r="P15" s="177">
        <v>18</v>
      </c>
      <c r="Q15" s="177">
        <v>22</v>
      </c>
      <c r="R15" s="177">
        <v>16</v>
      </c>
      <c r="S15" s="177">
        <v>21</v>
      </c>
      <c r="T15" s="177">
        <v>12</v>
      </c>
      <c r="U15" s="177">
        <v>5</v>
      </c>
      <c r="V15" s="177">
        <v>5</v>
      </c>
    </row>
    <row r="16" spans="1:35" x14ac:dyDescent="0.2">
      <c r="A16" s="158">
        <v>8</v>
      </c>
      <c r="B16" s="171" t="s">
        <v>604</v>
      </c>
      <c r="C16" s="174">
        <v>115</v>
      </c>
      <c r="D16" s="176">
        <v>35</v>
      </c>
      <c r="E16" s="176">
        <v>80</v>
      </c>
      <c r="F16" s="176">
        <v>35</v>
      </c>
      <c r="G16" s="177">
        <v>11</v>
      </c>
      <c r="H16" s="177">
        <v>16</v>
      </c>
      <c r="I16" s="177">
        <v>10</v>
      </c>
      <c r="J16" s="177">
        <v>13</v>
      </c>
      <c r="K16" s="177">
        <v>8</v>
      </c>
      <c r="L16" s="177">
        <v>15</v>
      </c>
      <c r="M16" s="177">
        <v>8</v>
      </c>
      <c r="N16" s="177">
        <v>15</v>
      </c>
      <c r="O16" s="177">
        <v>7</v>
      </c>
      <c r="P16" s="177">
        <v>16</v>
      </c>
      <c r="Q16" s="177">
        <v>14</v>
      </c>
      <c r="R16" s="177">
        <v>4</v>
      </c>
      <c r="S16" s="177">
        <v>17</v>
      </c>
      <c r="T16" s="177">
        <v>17</v>
      </c>
      <c r="U16" s="177">
        <v>10</v>
      </c>
      <c r="V16" s="177">
        <v>23</v>
      </c>
    </row>
    <row r="17" spans="1:22" x14ac:dyDescent="0.2">
      <c r="A17" s="158">
        <v>9</v>
      </c>
      <c r="B17" s="171" t="s">
        <v>605</v>
      </c>
      <c r="C17" s="174">
        <v>109</v>
      </c>
      <c r="D17" s="176">
        <v>35</v>
      </c>
      <c r="E17" s="176">
        <v>80</v>
      </c>
      <c r="F17" s="176">
        <v>65</v>
      </c>
      <c r="G17" s="177">
        <v>15</v>
      </c>
      <c r="H17" s="177">
        <v>13</v>
      </c>
      <c r="I17" s="177">
        <v>9</v>
      </c>
      <c r="J17" s="177">
        <v>14</v>
      </c>
      <c r="K17" s="177">
        <v>7</v>
      </c>
      <c r="L17" s="177">
        <v>8</v>
      </c>
      <c r="M17" s="177">
        <v>17</v>
      </c>
      <c r="N17" s="177">
        <v>22</v>
      </c>
      <c r="O17" s="177">
        <v>16</v>
      </c>
      <c r="P17" s="177">
        <v>17</v>
      </c>
      <c r="Q17" s="177">
        <v>20</v>
      </c>
      <c r="R17" s="177">
        <v>21</v>
      </c>
      <c r="S17" s="177">
        <v>9</v>
      </c>
      <c r="T17" s="177">
        <v>16</v>
      </c>
      <c r="U17" s="177">
        <v>0</v>
      </c>
      <c r="V17" s="177">
        <v>5</v>
      </c>
    </row>
    <row r="18" spans="1:22" x14ac:dyDescent="0.2">
      <c r="A18" s="158">
        <v>10</v>
      </c>
      <c r="B18" s="171" t="s">
        <v>606</v>
      </c>
      <c r="C18" s="174">
        <v>89</v>
      </c>
      <c r="D18" s="176">
        <v>35</v>
      </c>
      <c r="E18" s="176">
        <v>80</v>
      </c>
      <c r="F18" s="176">
        <v>65</v>
      </c>
      <c r="G18" s="177">
        <v>12</v>
      </c>
      <c r="H18" s="177">
        <v>18</v>
      </c>
      <c r="I18" s="177">
        <v>11</v>
      </c>
      <c r="J18" s="177">
        <v>13</v>
      </c>
      <c r="K18" s="177">
        <v>9</v>
      </c>
      <c r="L18" s="177">
        <v>7</v>
      </c>
      <c r="M18" s="177">
        <v>14</v>
      </c>
      <c r="N18" s="177">
        <v>13</v>
      </c>
      <c r="O18" s="177">
        <v>20</v>
      </c>
      <c r="P18" s="177">
        <v>10</v>
      </c>
      <c r="Q18" s="177">
        <v>16</v>
      </c>
      <c r="R18" s="177">
        <v>20</v>
      </c>
      <c r="S18" s="177">
        <v>14</v>
      </c>
      <c r="T18" s="177">
        <v>13</v>
      </c>
      <c r="U18" s="177">
        <v>8</v>
      </c>
      <c r="V18" s="177">
        <v>9</v>
      </c>
    </row>
    <row r="19" spans="1:22" x14ac:dyDescent="0.2">
      <c r="A19" s="158">
        <v>11</v>
      </c>
      <c r="B19" s="171" t="s">
        <v>607</v>
      </c>
      <c r="C19" s="174">
        <v>115</v>
      </c>
      <c r="D19" s="176">
        <v>35</v>
      </c>
      <c r="E19" s="176">
        <v>80</v>
      </c>
      <c r="F19" s="176">
        <v>65</v>
      </c>
      <c r="G19" s="177">
        <v>10</v>
      </c>
      <c r="H19" s="177">
        <v>12</v>
      </c>
      <c r="I19" s="177">
        <v>9</v>
      </c>
      <c r="J19" s="177">
        <v>12</v>
      </c>
      <c r="K19" s="177">
        <v>4</v>
      </c>
      <c r="L19" s="177">
        <v>15</v>
      </c>
      <c r="M19" s="177">
        <v>19</v>
      </c>
      <c r="N19" s="177">
        <v>17</v>
      </c>
      <c r="O19" s="177">
        <v>6</v>
      </c>
      <c r="P19" s="177">
        <v>9</v>
      </c>
      <c r="Q19" s="177">
        <v>18</v>
      </c>
      <c r="R19" s="177">
        <v>16</v>
      </c>
      <c r="S19" s="177">
        <v>20</v>
      </c>
      <c r="T19" s="177">
        <v>17</v>
      </c>
      <c r="U19" s="177">
        <v>8</v>
      </c>
      <c r="V19" s="177">
        <v>12</v>
      </c>
    </row>
    <row r="20" spans="1:22" x14ac:dyDescent="0.2">
      <c r="A20" s="158">
        <v>12</v>
      </c>
      <c r="B20" s="172" t="s">
        <v>608</v>
      </c>
      <c r="C20" s="175"/>
      <c r="D20" s="175"/>
      <c r="E20" s="175"/>
      <c r="F20" s="175"/>
      <c r="G20" s="175"/>
      <c r="H20" s="175"/>
      <c r="I20" s="175"/>
      <c r="J20" s="175"/>
      <c r="K20" s="175"/>
      <c r="L20" s="175"/>
      <c r="M20" s="175"/>
      <c r="N20" s="175"/>
      <c r="O20" s="175"/>
      <c r="P20" s="175"/>
      <c r="Q20" s="175"/>
      <c r="R20" s="175"/>
      <c r="S20" s="175"/>
      <c r="T20" s="175"/>
      <c r="U20" s="175"/>
      <c r="V20" s="175"/>
    </row>
    <row r="21" spans="1:22" x14ac:dyDescent="0.2">
      <c r="A21" s="158">
        <v>13</v>
      </c>
      <c r="B21" s="171" t="s">
        <v>609</v>
      </c>
      <c r="C21" s="174">
        <v>115</v>
      </c>
      <c r="D21" s="176">
        <v>35</v>
      </c>
      <c r="E21" s="176">
        <v>35</v>
      </c>
      <c r="F21" s="176">
        <v>35</v>
      </c>
      <c r="G21" s="177">
        <v>13</v>
      </c>
      <c r="H21" s="177">
        <v>16</v>
      </c>
      <c r="I21" s="177">
        <v>13</v>
      </c>
      <c r="J21" s="177">
        <v>15</v>
      </c>
      <c r="K21" s="177">
        <v>7</v>
      </c>
      <c r="L21" s="177">
        <v>13</v>
      </c>
      <c r="M21" s="177">
        <v>5</v>
      </c>
      <c r="N21" s="177">
        <v>17</v>
      </c>
      <c r="O21" s="177">
        <v>18</v>
      </c>
      <c r="P21" s="177">
        <v>11</v>
      </c>
      <c r="Q21" s="177">
        <v>20</v>
      </c>
      <c r="R21" s="177">
        <v>16</v>
      </c>
      <c r="S21" s="177">
        <v>19</v>
      </c>
      <c r="T21" s="177">
        <v>17</v>
      </c>
      <c r="U21" s="177">
        <v>0</v>
      </c>
      <c r="V21" s="177">
        <v>8</v>
      </c>
    </row>
    <row r="22" spans="1:22" x14ac:dyDescent="0.2">
      <c r="A22" s="158">
        <v>14</v>
      </c>
      <c r="B22" s="171" t="s">
        <v>610</v>
      </c>
      <c r="C22" s="174">
        <v>115</v>
      </c>
      <c r="D22" s="176">
        <v>35</v>
      </c>
      <c r="E22" s="176">
        <v>80</v>
      </c>
      <c r="F22" s="176">
        <v>35</v>
      </c>
      <c r="G22" s="177">
        <v>14</v>
      </c>
      <c r="H22" s="177">
        <v>17</v>
      </c>
      <c r="I22" s="177">
        <v>11</v>
      </c>
      <c r="J22" s="177">
        <v>10</v>
      </c>
      <c r="K22" s="177">
        <v>14</v>
      </c>
      <c r="L22" s="177">
        <v>11</v>
      </c>
      <c r="M22" s="177">
        <v>12</v>
      </c>
      <c r="N22" s="177">
        <v>10</v>
      </c>
      <c r="O22" s="177">
        <v>25</v>
      </c>
      <c r="P22" s="177">
        <v>10</v>
      </c>
      <c r="Q22" s="177">
        <v>18</v>
      </c>
      <c r="R22" s="177">
        <v>17</v>
      </c>
      <c r="S22" s="177">
        <v>13</v>
      </c>
      <c r="T22" s="177">
        <v>15</v>
      </c>
      <c r="U22" s="177">
        <v>1</v>
      </c>
      <c r="V22" s="177">
        <v>9</v>
      </c>
    </row>
    <row r="23" spans="1:22" x14ac:dyDescent="0.2">
      <c r="A23" s="158">
        <v>15</v>
      </c>
      <c r="B23" s="171" t="s">
        <v>611</v>
      </c>
      <c r="C23" s="174">
        <v>80</v>
      </c>
      <c r="D23" s="176">
        <v>35</v>
      </c>
      <c r="E23" s="176">
        <v>80</v>
      </c>
      <c r="F23" s="176">
        <v>35</v>
      </c>
      <c r="G23" s="177">
        <v>10</v>
      </c>
      <c r="H23" s="177">
        <v>7</v>
      </c>
      <c r="I23" s="177">
        <v>11</v>
      </c>
      <c r="J23" s="177">
        <v>10</v>
      </c>
      <c r="K23" s="177">
        <v>12</v>
      </c>
      <c r="L23" s="177">
        <v>8</v>
      </c>
      <c r="M23" s="177">
        <v>11</v>
      </c>
      <c r="N23" s="177">
        <v>18</v>
      </c>
      <c r="O23" s="177">
        <v>9</v>
      </c>
      <c r="P23" s="177">
        <v>16</v>
      </c>
      <c r="Q23" s="177">
        <v>24</v>
      </c>
      <c r="R23" s="177">
        <v>22</v>
      </c>
      <c r="S23" s="177">
        <v>9</v>
      </c>
      <c r="T23" s="177">
        <v>13</v>
      </c>
      <c r="U23" s="177">
        <v>11</v>
      </c>
      <c r="V23" s="177">
        <v>13</v>
      </c>
    </row>
    <row r="24" spans="1:22" x14ac:dyDescent="0.2">
      <c r="A24" s="158">
        <v>16</v>
      </c>
      <c r="B24" s="171" t="s">
        <v>612</v>
      </c>
      <c r="C24" s="174">
        <v>89</v>
      </c>
      <c r="D24" s="176">
        <v>35</v>
      </c>
      <c r="E24" s="176">
        <v>80</v>
      </c>
      <c r="F24" s="176">
        <v>65</v>
      </c>
      <c r="G24" s="177">
        <v>11</v>
      </c>
      <c r="H24" s="177">
        <v>13</v>
      </c>
      <c r="I24" s="177">
        <v>15</v>
      </c>
      <c r="J24" s="177">
        <v>14</v>
      </c>
      <c r="K24" s="177">
        <v>13</v>
      </c>
      <c r="L24" s="177">
        <v>10</v>
      </c>
      <c r="M24" s="177">
        <v>15</v>
      </c>
      <c r="N24" s="177">
        <v>17</v>
      </c>
      <c r="O24" s="177">
        <v>15</v>
      </c>
      <c r="P24" s="177">
        <v>10</v>
      </c>
      <c r="Q24" s="177">
        <v>15</v>
      </c>
      <c r="R24" s="177">
        <v>17</v>
      </c>
      <c r="S24" s="177">
        <v>14</v>
      </c>
      <c r="T24" s="177">
        <v>18</v>
      </c>
      <c r="U24" s="177">
        <v>6</v>
      </c>
      <c r="V24" s="177">
        <v>3</v>
      </c>
    </row>
    <row r="25" spans="1:22" x14ac:dyDescent="0.2">
      <c r="A25" s="159">
        <v>17</v>
      </c>
      <c r="B25" s="173" t="s">
        <v>613</v>
      </c>
      <c r="C25" s="174">
        <v>85</v>
      </c>
      <c r="D25" s="176">
        <v>35</v>
      </c>
      <c r="E25" s="176">
        <v>80</v>
      </c>
      <c r="F25" s="176">
        <v>35</v>
      </c>
      <c r="G25" s="177">
        <v>11</v>
      </c>
      <c r="H25" s="177">
        <v>8</v>
      </c>
      <c r="I25" s="177">
        <v>11</v>
      </c>
      <c r="J25" s="177">
        <v>23</v>
      </c>
      <c r="K25" s="177">
        <v>10</v>
      </c>
      <c r="L25" s="177">
        <v>14</v>
      </c>
      <c r="M25" s="177">
        <v>14</v>
      </c>
      <c r="N25" s="177">
        <v>17</v>
      </c>
      <c r="O25" s="177">
        <v>9</v>
      </c>
      <c r="P25" s="177">
        <v>15</v>
      </c>
      <c r="Q25" s="177">
        <v>19</v>
      </c>
      <c r="R25" s="177">
        <v>14</v>
      </c>
      <c r="S25" s="177">
        <v>22</v>
      </c>
      <c r="T25" s="177">
        <v>14</v>
      </c>
      <c r="U25" s="177">
        <v>4</v>
      </c>
      <c r="V25" s="177">
        <v>13</v>
      </c>
    </row>
    <row r="26" spans="1:22" x14ac:dyDescent="0.2">
      <c r="A26" s="158">
        <v>18</v>
      </c>
      <c r="B26" s="171" t="s">
        <v>614</v>
      </c>
      <c r="C26" s="174">
        <v>109</v>
      </c>
      <c r="D26" s="176">
        <v>35</v>
      </c>
      <c r="E26" s="176">
        <v>80</v>
      </c>
      <c r="F26" s="176">
        <v>35</v>
      </c>
      <c r="G26" s="177">
        <v>13</v>
      </c>
      <c r="H26" s="177">
        <v>15</v>
      </c>
      <c r="I26" s="177">
        <v>10</v>
      </c>
      <c r="J26" s="177">
        <v>18</v>
      </c>
      <c r="K26" s="177">
        <v>9</v>
      </c>
      <c r="L26" s="177">
        <v>7</v>
      </c>
      <c r="M26" s="177">
        <v>20</v>
      </c>
      <c r="N26" s="177">
        <v>15</v>
      </c>
      <c r="O26" s="177">
        <v>11</v>
      </c>
      <c r="P26" s="177">
        <v>11</v>
      </c>
      <c r="Q26" s="177">
        <v>13</v>
      </c>
      <c r="R26" s="177">
        <v>18</v>
      </c>
      <c r="S26" s="177">
        <v>13</v>
      </c>
      <c r="T26" s="177">
        <v>21</v>
      </c>
      <c r="U26" s="177">
        <v>3</v>
      </c>
      <c r="V26" s="177">
        <v>2</v>
      </c>
    </row>
    <row r="27" spans="1:22" x14ac:dyDescent="0.2">
      <c r="A27" s="158">
        <v>19</v>
      </c>
      <c r="B27" s="171" t="s">
        <v>615</v>
      </c>
      <c r="C27" s="174">
        <v>90</v>
      </c>
      <c r="D27" s="176">
        <v>35</v>
      </c>
      <c r="E27" s="176">
        <v>35</v>
      </c>
      <c r="F27" s="176">
        <v>35</v>
      </c>
      <c r="G27" s="177">
        <v>10</v>
      </c>
      <c r="H27" s="177">
        <v>13</v>
      </c>
      <c r="I27" s="177">
        <v>10</v>
      </c>
      <c r="J27" s="177">
        <v>11</v>
      </c>
      <c r="K27" s="177">
        <v>10</v>
      </c>
      <c r="L27" s="177">
        <v>13</v>
      </c>
      <c r="M27" s="177">
        <v>15</v>
      </c>
      <c r="N27" s="177">
        <v>11</v>
      </c>
      <c r="O27" s="177">
        <v>16</v>
      </c>
      <c r="P27" s="177">
        <v>9</v>
      </c>
      <c r="Q27" s="177">
        <v>22</v>
      </c>
      <c r="R27" s="177">
        <v>7</v>
      </c>
      <c r="S27" s="177">
        <v>12</v>
      </c>
      <c r="T27" s="177">
        <v>17</v>
      </c>
      <c r="U27" s="177">
        <v>11</v>
      </c>
      <c r="V27" s="177">
        <v>16</v>
      </c>
    </row>
    <row r="28" spans="1:22" x14ac:dyDescent="0.2">
      <c r="A28" s="158">
        <v>20</v>
      </c>
      <c r="B28" s="171" t="s">
        <v>616</v>
      </c>
      <c r="C28" s="174">
        <v>89</v>
      </c>
      <c r="D28" s="176">
        <v>35</v>
      </c>
      <c r="E28" s="176">
        <v>80</v>
      </c>
      <c r="F28" s="176">
        <v>65</v>
      </c>
      <c r="G28" s="177">
        <v>12</v>
      </c>
      <c r="H28" s="177">
        <v>11</v>
      </c>
      <c r="I28" s="177">
        <v>13</v>
      </c>
      <c r="J28" s="177">
        <v>10</v>
      </c>
      <c r="K28" s="177">
        <v>11</v>
      </c>
      <c r="L28" s="177">
        <v>9</v>
      </c>
      <c r="M28" s="177">
        <v>19</v>
      </c>
      <c r="N28" s="177">
        <v>15</v>
      </c>
      <c r="O28" s="177">
        <v>13</v>
      </c>
      <c r="P28" s="177">
        <v>10</v>
      </c>
      <c r="Q28" s="177">
        <v>22</v>
      </c>
      <c r="R28" s="177">
        <v>13</v>
      </c>
      <c r="S28" s="177">
        <v>10</v>
      </c>
      <c r="T28" s="177">
        <v>14</v>
      </c>
      <c r="U28" s="177">
        <v>16</v>
      </c>
      <c r="V28" s="177">
        <v>9</v>
      </c>
    </row>
    <row r="29" spans="1:22" x14ac:dyDescent="0.2">
      <c r="A29" s="158">
        <v>21</v>
      </c>
      <c r="B29" s="171" t="s">
        <v>617</v>
      </c>
      <c r="C29" s="174">
        <v>105</v>
      </c>
      <c r="D29" s="176">
        <v>35</v>
      </c>
      <c r="E29" s="176">
        <v>80</v>
      </c>
      <c r="F29" s="176">
        <v>65</v>
      </c>
      <c r="G29" s="177">
        <v>13</v>
      </c>
      <c r="H29" s="177">
        <v>16</v>
      </c>
      <c r="I29" s="177">
        <v>13</v>
      </c>
      <c r="J29" s="177">
        <v>15</v>
      </c>
      <c r="K29" s="177">
        <v>12</v>
      </c>
      <c r="L29" s="177">
        <v>11</v>
      </c>
      <c r="M29" s="177">
        <v>13</v>
      </c>
      <c r="N29" s="177">
        <v>14</v>
      </c>
      <c r="O29" s="177">
        <v>9</v>
      </c>
      <c r="P29" s="177">
        <v>11</v>
      </c>
      <c r="Q29" s="177">
        <v>21</v>
      </c>
      <c r="R29" s="177">
        <v>17</v>
      </c>
      <c r="S29" s="177">
        <v>17</v>
      </c>
      <c r="T29" s="177">
        <v>14</v>
      </c>
      <c r="U29" s="177">
        <v>5</v>
      </c>
      <c r="V29" s="177">
        <v>7</v>
      </c>
    </row>
    <row r="30" spans="1:22" x14ac:dyDescent="0.2">
      <c r="A30" s="158">
        <v>22</v>
      </c>
      <c r="B30" s="171" t="s">
        <v>618</v>
      </c>
      <c r="C30" s="174">
        <v>115</v>
      </c>
      <c r="D30" s="176">
        <v>35</v>
      </c>
      <c r="E30" s="176">
        <v>80</v>
      </c>
      <c r="F30" s="176">
        <v>35</v>
      </c>
      <c r="G30" s="177">
        <v>12</v>
      </c>
      <c r="H30" s="177">
        <v>15</v>
      </c>
      <c r="I30" s="177">
        <v>9</v>
      </c>
      <c r="J30" s="177">
        <v>12</v>
      </c>
      <c r="K30" s="177">
        <v>8</v>
      </c>
      <c r="L30" s="177">
        <v>9</v>
      </c>
      <c r="M30" s="177">
        <v>18</v>
      </c>
      <c r="N30" s="177">
        <v>11</v>
      </c>
      <c r="O30" s="177">
        <v>16</v>
      </c>
      <c r="P30" s="177">
        <v>12</v>
      </c>
      <c r="Q30" s="177">
        <v>20</v>
      </c>
      <c r="R30" s="177">
        <v>15</v>
      </c>
      <c r="S30" s="177">
        <v>12</v>
      </c>
      <c r="T30" s="177">
        <v>12</v>
      </c>
      <c r="U30" s="177">
        <v>13</v>
      </c>
      <c r="V30" s="177">
        <v>12</v>
      </c>
    </row>
    <row r="31" spans="1:22" x14ac:dyDescent="0.2">
      <c r="A31" s="158">
        <v>23</v>
      </c>
      <c r="B31" s="171" t="s">
        <v>619</v>
      </c>
      <c r="C31" s="174">
        <v>105</v>
      </c>
      <c r="D31" s="176">
        <v>35</v>
      </c>
      <c r="E31" s="176">
        <v>80</v>
      </c>
      <c r="F31" s="176">
        <v>35</v>
      </c>
      <c r="G31" s="177">
        <v>14</v>
      </c>
      <c r="H31" s="177">
        <v>9</v>
      </c>
      <c r="I31" s="177">
        <v>15</v>
      </c>
      <c r="J31" s="177">
        <v>15</v>
      </c>
      <c r="K31" s="177">
        <v>12</v>
      </c>
      <c r="L31" s="177">
        <v>13</v>
      </c>
      <c r="M31" s="177">
        <v>6</v>
      </c>
      <c r="N31" s="177">
        <v>17</v>
      </c>
      <c r="O31" s="177">
        <v>13</v>
      </c>
      <c r="P31" s="177">
        <v>15</v>
      </c>
      <c r="Q31" s="177">
        <v>21</v>
      </c>
      <c r="R31" s="177">
        <v>15</v>
      </c>
      <c r="S31" s="177">
        <v>6</v>
      </c>
      <c r="T31" s="177">
        <v>18</v>
      </c>
      <c r="U31" s="177">
        <v>3</v>
      </c>
      <c r="V31" s="177">
        <v>18</v>
      </c>
    </row>
    <row r="32" spans="1:22" x14ac:dyDescent="0.2">
      <c r="A32" s="158">
        <v>24</v>
      </c>
      <c r="B32" s="171" t="s">
        <v>620</v>
      </c>
      <c r="C32" s="174">
        <v>110</v>
      </c>
      <c r="D32" s="176">
        <v>35</v>
      </c>
      <c r="E32" s="176">
        <v>80</v>
      </c>
      <c r="F32" s="176">
        <v>35</v>
      </c>
      <c r="G32" s="177">
        <v>10</v>
      </c>
      <c r="H32" s="177">
        <v>15</v>
      </c>
      <c r="I32" s="177">
        <v>7</v>
      </c>
      <c r="J32" s="177">
        <v>14</v>
      </c>
      <c r="K32" s="177">
        <v>12</v>
      </c>
      <c r="L32" s="177">
        <v>18</v>
      </c>
      <c r="M32" s="177">
        <v>9</v>
      </c>
      <c r="N32" s="177">
        <v>13</v>
      </c>
      <c r="O32" s="177">
        <v>11</v>
      </c>
      <c r="P32" s="177">
        <v>13</v>
      </c>
      <c r="Q32" s="177">
        <v>18</v>
      </c>
      <c r="R32" s="177">
        <v>12</v>
      </c>
      <c r="S32" s="177">
        <v>15</v>
      </c>
      <c r="T32" s="177">
        <v>12</v>
      </c>
      <c r="U32" s="177">
        <v>11</v>
      </c>
      <c r="V32" s="177">
        <v>15</v>
      </c>
    </row>
    <row r="33" spans="1:22" x14ac:dyDescent="0.2">
      <c r="A33" s="158">
        <v>25</v>
      </c>
      <c r="B33" s="171" t="s">
        <v>621</v>
      </c>
      <c r="C33" s="174">
        <v>105</v>
      </c>
      <c r="D33" s="176">
        <v>35</v>
      </c>
      <c r="E33" s="176">
        <v>35</v>
      </c>
      <c r="F33" s="176">
        <v>35</v>
      </c>
      <c r="G33" s="177">
        <v>10</v>
      </c>
      <c r="H33" s="177">
        <v>19</v>
      </c>
      <c r="I33" s="177">
        <v>11</v>
      </c>
      <c r="J33" s="177">
        <v>13</v>
      </c>
      <c r="K33" s="177">
        <v>8</v>
      </c>
      <c r="L33" s="177">
        <v>13</v>
      </c>
      <c r="M33" s="177">
        <v>17</v>
      </c>
      <c r="N33" s="177">
        <v>12</v>
      </c>
      <c r="O33" s="177">
        <v>17</v>
      </c>
      <c r="P33" s="177">
        <v>7</v>
      </c>
      <c r="Q33" s="177">
        <v>17</v>
      </c>
      <c r="R33" s="177">
        <v>19</v>
      </c>
      <c r="S33" s="177">
        <v>10</v>
      </c>
      <c r="T33" s="177">
        <v>13</v>
      </c>
      <c r="U33" s="177">
        <v>7</v>
      </c>
      <c r="V33" s="177">
        <v>7</v>
      </c>
    </row>
    <row r="34" spans="1:22" x14ac:dyDescent="0.2">
      <c r="A34" s="158">
        <v>26</v>
      </c>
      <c r="B34" s="171" t="s">
        <v>622</v>
      </c>
      <c r="C34" s="174">
        <v>80</v>
      </c>
      <c r="D34" s="176">
        <v>35</v>
      </c>
      <c r="E34" s="176">
        <v>80</v>
      </c>
      <c r="F34" s="176">
        <v>35</v>
      </c>
      <c r="G34" s="177">
        <v>8</v>
      </c>
      <c r="H34" s="177">
        <v>11</v>
      </c>
      <c r="I34" s="177">
        <v>12</v>
      </c>
      <c r="J34" s="177">
        <v>10</v>
      </c>
      <c r="K34" s="177">
        <v>11</v>
      </c>
      <c r="L34" s="177">
        <v>7</v>
      </c>
      <c r="M34" s="177">
        <v>19</v>
      </c>
      <c r="N34" s="177">
        <v>14</v>
      </c>
      <c r="O34" s="177">
        <v>21</v>
      </c>
      <c r="P34" s="177">
        <v>13</v>
      </c>
      <c r="Q34" s="177">
        <v>23</v>
      </c>
      <c r="R34" s="177">
        <v>15</v>
      </c>
      <c r="S34" s="177">
        <v>13</v>
      </c>
      <c r="T34" s="177">
        <v>8</v>
      </c>
      <c r="U34" s="177">
        <v>9</v>
      </c>
      <c r="V34" s="177">
        <v>7</v>
      </c>
    </row>
    <row r="35" spans="1:22" x14ac:dyDescent="0.2">
      <c r="A35" s="158">
        <v>27</v>
      </c>
      <c r="B35" s="171" t="s">
        <v>623</v>
      </c>
      <c r="C35" s="174">
        <v>125</v>
      </c>
      <c r="D35" s="176">
        <v>35</v>
      </c>
      <c r="E35" s="176">
        <v>80</v>
      </c>
      <c r="F35" s="176">
        <v>35</v>
      </c>
      <c r="G35" s="177">
        <v>11</v>
      </c>
      <c r="H35" s="177">
        <v>13</v>
      </c>
      <c r="I35" s="177">
        <v>17</v>
      </c>
      <c r="J35" s="177">
        <v>10</v>
      </c>
      <c r="K35" s="177">
        <v>12</v>
      </c>
      <c r="L35" s="177">
        <v>12</v>
      </c>
      <c r="M35" s="177">
        <v>14</v>
      </c>
      <c r="N35" s="177">
        <v>17</v>
      </c>
      <c r="O35" s="177">
        <v>15</v>
      </c>
      <c r="P35" s="177">
        <v>8</v>
      </c>
      <c r="Q35" s="177">
        <v>20</v>
      </c>
      <c r="R35" s="177">
        <v>16</v>
      </c>
      <c r="S35" s="177">
        <v>15</v>
      </c>
      <c r="T35" s="177">
        <v>9</v>
      </c>
      <c r="U35" s="177">
        <v>4</v>
      </c>
      <c r="V35" s="177">
        <v>8</v>
      </c>
    </row>
    <row r="36" spans="1:22" x14ac:dyDescent="0.2">
      <c r="A36" s="158">
        <v>28</v>
      </c>
      <c r="B36" s="171" t="s">
        <v>624</v>
      </c>
      <c r="C36" s="174">
        <v>85</v>
      </c>
      <c r="D36" s="176">
        <v>35</v>
      </c>
      <c r="E36" s="176">
        <v>80</v>
      </c>
      <c r="F36" s="176">
        <v>35</v>
      </c>
      <c r="G36" s="177">
        <v>13</v>
      </c>
      <c r="H36" s="177">
        <v>9</v>
      </c>
      <c r="I36" s="177">
        <v>10</v>
      </c>
      <c r="J36" s="177">
        <v>9</v>
      </c>
      <c r="K36" s="177">
        <v>12</v>
      </c>
      <c r="L36" s="177">
        <v>10</v>
      </c>
      <c r="M36" s="177">
        <v>13</v>
      </c>
      <c r="N36" s="177">
        <v>10</v>
      </c>
      <c r="O36" s="177">
        <v>14</v>
      </c>
      <c r="P36" s="177">
        <v>13</v>
      </c>
      <c r="Q36" s="177">
        <v>18</v>
      </c>
      <c r="R36" s="177">
        <v>19</v>
      </c>
      <c r="S36" s="177">
        <v>21</v>
      </c>
      <c r="T36" s="177">
        <v>18</v>
      </c>
      <c r="U36" s="177">
        <v>2</v>
      </c>
      <c r="V36" s="177">
        <v>15</v>
      </c>
    </row>
    <row r="37" spans="1:22" x14ac:dyDescent="0.2">
      <c r="A37" s="158">
        <v>29</v>
      </c>
      <c r="B37" s="171" t="s">
        <v>625</v>
      </c>
      <c r="C37" s="174">
        <v>85</v>
      </c>
      <c r="D37" s="176">
        <v>35</v>
      </c>
      <c r="E37" s="176">
        <v>80</v>
      </c>
      <c r="F37" s="176">
        <v>35</v>
      </c>
      <c r="G37" s="177">
        <v>12</v>
      </c>
      <c r="H37" s="177">
        <v>12</v>
      </c>
      <c r="I37" s="177">
        <v>13</v>
      </c>
      <c r="J37" s="177">
        <v>12</v>
      </c>
      <c r="K37" s="177">
        <v>8</v>
      </c>
      <c r="L37" s="177">
        <v>11</v>
      </c>
      <c r="M37" s="177">
        <v>14</v>
      </c>
      <c r="N37" s="177">
        <v>24</v>
      </c>
      <c r="O37" s="177">
        <v>16</v>
      </c>
      <c r="P37" s="177">
        <v>12</v>
      </c>
      <c r="Q37" s="177">
        <v>18</v>
      </c>
      <c r="R37" s="177">
        <v>12</v>
      </c>
      <c r="S37" s="177">
        <v>14</v>
      </c>
      <c r="T37" s="177">
        <v>11</v>
      </c>
      <c r="U37" s="177">
        <v>4</v>
      </c>
      <c r="V37" s="177">
        <v>14</v>
      </c>
    </row>
    <row r="38" spans="1:22" x14ac:dyDescent="0.2">
      <c r="A38" s="158">
        <v>30</v>
      </c>
      <c r="B38" s="171" t="s">
        <v>626</v>
      </c>
      <c r="C38" s="174">
        <v>85</v>
      </c>
      <c r="D38" s="176">
        <v>35</v>
      </c>
      <c r="E38" s="176">
        <v>35</v>
      </c>
      <c r="F38" s="176">
        <v>35</v>
      </c>
      <c r="G38" s="177">
        <v>15</v>
      </c>
      <c r="H38" s="177">
        <v>19</v>
      </c>
      <c r="I38" s="177">
        <v>18</v>
      </c>
      <c r="J38" s="177">
        <v>10</v>
      </c>
      <c r="K38" s="177">
        <v>14</v>
      </c>
      <c r="L38" s="177">
        <v>4</v>
      </c>
      <c r="M38" s="177">
        <v>16</v>
      </c>
      <c r="N38" s="177">
        <v>17</v>
      </c>
      <c r="O38" s="177">
        <v>15</v>
      </c>
      <c r="P38" s="177">
        <v>7</v>
      </c>
      <c r="Q38" s="177">
        <v>15</v>
      </c>
      <c r="R38" s="177">
        <v>20</v>
      </c>
      <c r="S38" s="177">
        <v>20</v>
      </c>
      <c r="T38" s="177">
        <v>13</v>
      </c>
      <c r="U38" s="177">
        <v>0</v>
      </c>
      <c r="V38" s="177">
        <v>6</v>
      </c>
    </row>
    <row r="39" spans="1:22" x14ac:dyDescent="0.2">
      <c r="A39" s="158">
        <v>31</v>
      </c>
      <c r="B39" s="171" t="s">
        <v>627</v>
      </c>
      <c r="C39" s="174">
        <v>110</v>
      </c>
      <c r="D39" s="176">
        <v>35</v>
      </c>
      <c r="E39" s="176">
        <v>35</v>
      </c>
      <c r="F39" s="176">
        <v>35</v>
      </c>
      <c r="G39" s="177">
        <v>10</v>
      </c>
      <c r="H39" s="177">
        <v>10</v>
      </c>
      <c r="I39" s="177">
        <v>13</v>
      </c>
      <c r="J39" s="177">
        <v>14</v>
      </c>
      <c r="K39" s="177">
        <v>10</v>
      </c>
      <c r="L39" s="177">
        <v>11</v>
      </c>
      <c r="M39" s="177">
        <v>12</v>
      </c>
      <c r="N39" s="177">
        <v>19</v>
      </c>
      <c r="O39" s="177">
        <v>15</v>
      </c>
      <c r="P39" s="177">
        <v>12</v>
      </c>
      <c r="Q39" s="177">
        <v>18</v>
      </c>
      <c r="R39" s="177">
        <v>16</v>
      </c>
      <c r="S39" s="177">
        <v>12</v>
      </c>
      <c r="T39" s="177">
        <v>18</v>
      </c>
      <c r="U39" s="177">
        <v>1</v>
      </c>
      <c r="V39" s="177">
        <v>14</v>
      </c>
    </row>
    <row r="40" spans="1:22" x14ac:dyDescent="0.2">
      <c r="A40" s="158">
        <v>32</v>
      </c>
      <c r="B40" s="171" t="s">
        <v>628</v>
      </c>
      <c r="C40" s="174">
        <v>115</v>
      </c>
      <c r="D40" s="176">
        <v>35</v>
      </c>
      <c r="E40" s="176">
        <v>80</v>
      </c>
      <c r="F40" s="176">
        <v>35</v>
      </c>
      <c r="G40" s="177">
        <v>12</v>
      </c>
      <c r="H40" s="177">
        <v>16</v>
      </c>
      <c r="I40" s="177">
        <v>7</v>
      </c>
      <c r="J40" s="177">
        <v>9</v>
      </c>
      <c r="K40" s="177">
        <v>12</v>
      </c>
      <c r="L40" s="177">
        <v>9</v>
      </c>
      <c r="M40" s="177">
        <v>7</v>
      </c>
      <c r="N40" s="177">
        <v>22</v>
      </c>
      <c r="O40" s="177">
        <v>11</v>
      </c>
      <c r="P40" s="177">
        <v>8</v>
      </c>
      <c r="Q40" s="177">
        <v>22</v>
      </c>
      <c r="R40" s="177">
        <v>14</v>
      </c>
      <c r="S40" s="177">
        <v>18</v>
      </c>
      <c r="T40" s="177">
        <v>14</v>
      </c>
      <c r="U40" s="177">
        <v>3</v>
      </c>
      <c r="V40" s="177">
        <v>20</v>
      </c>
    </row>
    <row r="41" spans="1:22" x14ac:dyDescent="0.2">
      <c r="A41" s="158">
        <v>33</v>
      </c>
      <c r="B41" s="171" t="s">
        <v>629</v>
      </c>
      <c r="C41" s="174">
        <v>110</v>
      </c>
      <c r="D41" s="176">
        <v>35</v>
      </c>
      <c r="E41" s="176">
        <v>80</v>
      </c>
      <c r="F41" s="176">
        <v>35</v>
      </c>
      <c r="G41" s="177">
        <v>12</v>
      </c>
      <c r="H41" s="177">
        <v>10</v>
      </c>
      <c r="I41" s="177">
        <v>13</v>
      </c>
      <c r="J41" s="177">
        <v>9</v>
      </c>
      <c r="K41" s="177">
        <v>9</v>
      </c>
      <c r="L41" s="177">
        <v>6</v>
      </c>
      <c r="M41" s="177">
        <v>17</v>
      </c>
      <c r="N41" s="177">
        <v>14</v>
      </c>
      <c r="O41" s="177">
        <v>15</v>
      </c>
      <c r="P41" s="177">
        <v>10</v>
      </c>
      <c r="Q41" s="177">
        <v>21</v>
      </c>
      <c r="R41" s="177">
        <v>20</v>
      </c>
      <c r="S41" s="177">
        <v>19</v>
      </c>
      <c r="T41" s="177">
        <v>13</v>
      </c>
      <c r="U41" s="177">
        <v>6</v>
      </c>
      <c r="V41" s="177">
        <v>13</v>
      </c>
    </row>
    <row r="42" spans="1:22" x14ac:dyDescent="0.2">
      <c r="A42" s="158">
        <v>34</v>
      </c>
      <c r="B42" s="171" t="s">
        <v>630</v>
      </c>
      <c r="C42" s="174">
        <v>105</v>
      </c>
      <c r="D42" s="176">
        <v>35</v>
      </c>
      <c r="E42" s="176">
        <v>80</v>
      </c>
      <c r="F42" s="176">
        <v>35</v>
      </c>
      <c r="G42" s="177">
        <v>12</v>
      </c>
      <c r="H42" s="177">
        <v>17</v>
      </c>
      <c r="I42" s="177">
        <v>9</v>
      </c>
      <c r="J42" s="177">
        <v>16</v>
      </c>
      <c r="K42" s="177">
        <v>9</v>
      </c>
      <c r="L42" s="177">
        <v>10</v>
      </c>
      <c r="M42" s="177">
        <v>17</v>
      </c>
      <c r="N42" s="177">
        <v>14</v>
      </c>
      <c r="O42" s="177">
        <v>7</v>
      </c>
      <c r="P42" s="177">
        <v>6</v>
      </c>
      <c r="Q42" s="177">
        <v>19</v>
      </c>
      <c r="R42" s="177">
        <v>16</v>
      </c>
      <c r="S42" s="177">
        <v>14</v>
      </c>
      <c r="T42" s="177">
        <v>20</v>
      </c>
      <c r="U42" s="177">
        <v>7</v>
      </c>
      <c r="V42" s="177">
        <v>12</v>
      </c>
    </row>
    <row r="43" spans="1:22" x14ac:dyDescent="0.2">
      <c r="A43" s="158">
        <v>35</v>
      </c>
      <c r="B43" s="171" t="s">
        <v>631</v>
      </c>
      <c r="C43" s="174">
        <v>89</v>
      </c>
      <c r="D43" s="176">
        <v>35</v>
      </c>
      <c r="E43" s="176">
        <v>80</v>
      </c>
      <c r="F43" s="176">
        <v>35</v>
      </c>
      <c r="G43" s="177">
        <v>13</v>
      </c>
      <c r="H43" s="177">
        <v>11</v>
      </c>
      <c r="I43" s="177">
        <v>5</v>
      </c>
      <c r="J43" s="177">
        <v>10</v>
      </c>
      <c r="K43" s="177">
        <v>8</v>
      </c>
      <c r="L43" s="177">
        <v>14</v>
      </c>
      <c r="M43" s="177">
        <v>21</v>
      </c>
      <c r="N43" s="177">
        <v>14</v>
      </c>
      <c r="O43" s="177">
        <v>11</v>
      </c>
      <c r="P43" s="177">
        <v>11</v>
      </c>
      <c r="Q43" s="177">
        <v>18</v>
      </c>
      <c r="R43" s="177">
        <v>18</v>
      </c>
      <c r="S43" s="177">
        <v>21</v>
      </c>
      <c r="T43" s="177">
        <v>12</v>
      </c>
      <c r="U43" s="177">
        <v>5</v>
      </c>
      <c r="V43" s="177">
        <v>14</v>
      </c>
    </row>
    <row r="44" spans="1:22" x14ac:dyDescent="0.2">
      <c r="A44" s="158">
        <v>36</v>
      </c>
      <c r="B44" s="171" t="s">
        <v>632</v>
      </c>
      <c r="C44" s="174">
        <v>105</v>
      </c>
      <c r="D44" s="176">
        <v>35</v>
      </c>
      <c r="E44" s="176">
        <v>80</v>
      </c>
      <c r="F44" s="176">
        <v>35</v>
      </c>
      <c r="G44" s="177">
        <v>14</v>
      </c>
      <c r="H44" s="177">
        <v>15</v>
      </c>
      <c r="I44" s="177">
        <v>9</v>
      </c>
      <c r="J44" s="177">
        <v>8</v>
      </c>
      <c r="K44" s="177">
        <v>12</v>
      </c>
      <c r="L44" s="177">
        <v>11</v>
      </c>
      <c r="M44" s="177">
        <v>20</v>
      </c>
      <c r="N44" s="177">
        <v>14</v>
      </c>
      <c r="O44" s="177">
        <v>17</v>
      </c>
      <c r="P44" s="177">
        <v>7</v>
      </c>
      <c r="Q44" s="177">
        <v>19</v>
      </c>
      <c r="R44" s="177">
        <v>20</v>
      </c>
      <c r="S44" s="177">
        <v>14</v>
      </c>
      <c r="T44" s="177">
        <v>10</v>
      </c>
      <c r="U44" s="177">
        <v>4</v>
      </c>
      <c r="V44" s="177">
        <v>16</v>
      </c>
    </row>
    <row r="45" spans="1:22" x14ac:dyDescent="0.2">
      <c r="A45" s="158">
        <v>37</v>
      </c>
      <c r="B45" s="171" t="s">
        <v>633</v>
      </c>
      <c r="C45" s="174">
        <v>80</v>
      </c>
      <c r="D45" s="176">
        <v>35</v>
      </c>
      <c r="E45" s="176">
        <v>80</v>
      </c>
      <c r="F45" s="176">
        <v>65</v>
      </c>
      <c r="G45" s="177">
        <v>13</v>
      </c>
      <c r="H45" s="177">
        <v>16</v>
      </c>
      <c r="I45" s="177">
        <v>13</v>
      </c>
      <c r="J45" s="177">
        <v>13</v>
      </c>
      <c r="K45" s="177">
        <v>9</v>
      </c>
      <c r="L45" s="177">
        <v>9</v>
      </c>
      <c r="M45" s="177">
        <v>13</v>
      </c>
      <c r="N45" s="177">
        <v>16</v>
      </c>
      <c r="O45" s="177">
        <v>9</v>
      </c>
      <c r="P45" s="177">
        <v>13</v>
      </c>
      <c r="Q45" s="177">
        <v>23</v>
      </c>
      <c r="R45" s="177">
        <v>16</v>
      </c>
      <c r="S45" s="177">
        <v>15</v>
      </c>
      <c r="T45" s="177">
        <v>23</v>
      </c>
      <c r="U45" s="177">
        <v>0</v>
      </c>
      <c r="V45" s="177">
        <v>7</v>
      </c>
    </row>
  </sheetData>
  <mergeCells count="9">
    <mergeCell ref="A3:V3"/>
    <mergeCell ref="A4:V4"/>
    <mergeCell ref="A5:V5"/>
    <mergeCell ref="A6:V6"/>
    <mergeCell ref="A7:A8"/>
    <mergeCell ref="B7:B8"/>
    <mergeCell ref="C7:C8"/>
    <mergeCell ref="D7:F7"/>
    <mergeCell ref="G7:V7"/>
  </mergeCells>
  <pageMargins left="0.45" right="0.2" top="0.5" bottom="0.5" header="0.3" footer="0.3"/>
  <pageSetup paperSize="9" scale="85"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A04E5-26CA-467F-B627-0B36B7E201D2}">
  <dimension ref="A3:AI45"/>
  <sheetViews>
    <sheetView view="pageBreakPreview" zoomScaleNormal="100" zoomScaleSheetLayoutView="100" workbookViewId="0">
      <selection activeCell="B9" sqref="B9"/>
    </sheetView>
  </sheetViews>
  <sheetFormatPr defaultColWidth="11.43359375" defaultRowHeight="15" x14ac:dyDescent="0.2"/>
  <cols>
    <col min="1" max="1" width="5.24609375" customWidth="1"/>
    <col min="2" max="2" width="48.42578125" bestFit="1" customWidth="1"/>
    <col min="3" max="3" width="7.80078125" customWidth="1"/>
    <col min="4" max="22" width="5.91796875" customWidth="1"/>
  </cols>
  <sheetData>
    <row r="3" spans="1:35" ht="21.75" x14ac:dyDescent="0.3">
      <c r="A3" s="181" t="s">
        <v>420</v>
      </c>
      <c r="B3" s="181"/>
      <c r="C3" s="181"/>
      <c r="D3" s="181"/>
      <c r="E3" s="181"/>
      <c r="F3" s="181"/>
      <c r="G3" s="181"/>
      <c r="H3" s="181"/>
      <c r="I3" s="181"/>
      <c r="J3" s="181"/>
      <c r="K3" s="181"/>
      <c r="L3" s="181"/>
      <c r="M3" s="181"/>
      <c r="N3" s="181"/>
      <c r="O3" s="181"/>
      <c r="P3" s="181"/>
      <c r="Q3" s="181"/>
      <c r="R3" s="181"/>
      <c r="S3" s="181"/>
      <c r="T3" s="181"/>
      <c r="U3" s="181"/>
      <c r="V3" s="181"/>
      <c r="W3" s="160"/>
      <c r="X3" s="160"/>
      <c r="Y3" s="160"/>
      <c r="Z3" s="160"/>
      <c r="AA3" s="160"/>
      <c r="AB3" s="160"/>
      <c r="AC3" s="160"/>
      <c r="AD3" s="160"/>
      <c r="AE3" s="160"/>
      <c r="AF3" s="160"/>
      <c r="AG3" s="160"/>
      <c r="AH3" s="160"/>
      <c r="AI3" s="160"/>
    </row>
    <row r="4" spans="1:35" ht="18.75" x14ac:dyDescent="0.25">
      <c r="A4" s="182" t="s">
        <v>421</v>
      </c>
      <c r="B4" s="182"/>
      <c r="C4" s="182"/>
      <c r="D4" s="182"/>
      <c r="E4" s="182"/>
      <c r="F4" s="182"/>
      <c r="G4" s="182"/>
      <c r="H4" s="182"/>
      <c r="I4" s="182"/>
      <c r="J4" s="182"/>
      <c r="K4" s="182"/>
      <c r="L4" s="182"/>
      <c r="M4" s="182"/>
      <c r="N4" s="182"/>
      <c r="O4" s="182"/>
      <c r="P4" s="182"/>
      <c r="Q4" s="182"/>
      <c r="R4" s="182"/>
      <c r="S4" s="182"/>
      <c r="T4" s="182"/>
      <c r="U4" s="182"/>
      <c r="V4" s="182"/>
      <c r="W4" s="161"/>
      <c r="X4" s="161"/>
      <c r="Y4" s="161"/>
      <c r="Z4" s="161"/>
      <c r="AA4" s="161"/>
      <c r="AB4" s="161"/>
      <c r="AC4" s="161"/>
      <c r="AD4" s="161"/>
      <c r="AE4" s="161"/>
      <c r="AF4" s="161"/>
      <c r="AG4" s="161"/>
      <c r="AH4" s="161"/>
      <c r="AI4" s="161"/>
    </row>
    <row r="5" spans="1:35" ht="18.75" x14ac:dyDescent="0.25">
      <c r="A5" s="182" t="s">
        <v>634</v>
      </c>
      <c r="B5" s="182"/>
      <c r="C5" s="182"/>
      <c r="D5" s="182"/>
      <c r="E5" s="182"/>
      <c r="F5" s="182"/>
      <c r="G5" s="182"/>
      <c r="H5" s="182"/>
      <c r="I5" s="182"/>
      <c r="J5" s="182"/>
      <c r="K5" s="182"/>
      <c r="L5" s="182"/>
      <c r="M5" s="182"/>
      <c r="N5" s="182"/>
      <c r="O5" s="182"/>
      <c r="P5" s="182"/>
      <c r="Q5" s="182"/>
      <c r="R5" s="182"/>
      <c r="S5" s="182"/>
      <c r="T5" s="182"/>
      <c r="U5" s="182"/>
      <c r="V5" s="182"/>
      <c r="W5" s="161"/>
      <c r="X5" s="161"/>
      <c r="Y5" s="161"/>
      <c r="Z5" s="161"/>
      <c r="AA5" s="161"/>
      <c r="AB5" s="161"/>
      <c r="AC5" s="161"/>
      <c r="AD5" s="161"/>
      <c r="AE5" s="161"/>
      <c r="AF5" s="161"/>
      <c r="AG5" s="161"/>
      <c r="AH5" s="161"/>
      <c r="AI5" s="161"/>
    </row>
    <row r="6" spans="1:35" x14ac:dyDescent="0.2">
      <c r="A6" s="186"/>
      <c r="B6" s="186"/>
      <c r="C6" s="186"/>
      <c r="D6" s="186"/>
      <c r="E6" s="186"/>
      <c r="F6" s="186"/>
      <c r="G6" s="186"/>
      <c r="H6" s="186"/>
      <c r="I6" s="186"/>
      <c r="J6" s="186"/>
      <c r="K6" s="186"/>
      <c r="L6" s="186"/>
      <c r="M6" s="186"/>
      <c r="N6" s="186"/>
      <c r="O6" s="186"/>
      <c r="P6" s="186"/>
      <c r="Q6" s="186"/>
      <c r="R6" s="186"/>
      <c r="S6" s="186"/>
      <c r="T6" s="186"/>
      <c r="U6" s="186"/>
      <c r="V6" s="186"/>
    </row>
    <row r="7" spans="1:35" x14ac:dyDescent="0.2">
      <c r="A7" s="187" t="s">
        <v>0</v>
      </c>
      <c r="B7" s="187" t="s">
        <v>379</v>
      </c>
      <c r="C7" s="187" t="s">
        <v>2</v>
      </c>
      <c r="D7" s="187" t="s">
        <v>417</v>
      </c>
      <c r="E7" s="187"/>
      <c r="F7" s="187"/>
      <c r="G7" s="183" t="s">
        <v>418</v>
      </c>
      <c r="H7" s="184"/>
      <c r="I7" s="184"/>
      <c r="J7" s="184"/>
      <c r="K7" s="184"/>
      <c r="L7" s="184"/>
      <c r="M7" s="184"/>
      <c r="N7" s="184"/>
      <c r="O7" s="184"/>
      <c r="P7" s="184"/>
      <c r="Q7" s="184"/>
      <c r="R7" s="184"/>
      <c r="S7" s="184"/>
      <c r="T7" s="184"/>
      <c r="U7" s="184"/>
      <c r="V7" s="185"/>
    </row>
    <row r="8" spans="1:35" x14ac:dyDescent="0.2">
      <c r="A8" s="187"/>
      <c r="B8" s="187"/>
      <c r="C8" s="187"/>
      <c r="D8" s="162">
        <v>1</v>
      </c>
      <c r="E8" s="162">
        <v>2</v>
      </c>
      <c r="F8" s="162">
        <v>3</v>
      </c>
      <c r="G8" s="162">
        <v>1</v>
      </c>
      <c r="H8" s="162">
        <v>2</v>
      </c>
      <c r="I8" s="162">
        <v>3</v>
      </c>
      <c r="J8" s="162">
        <v>4</v>
      </c>
      <c r="K8" s="162">
        <v>5</v>
      </c>
      <c r="L8" s="162">
        <v>6</v>
      </c>
      <c r="M8" s="162">
        <v>7</v>
      </c>
      <c r="N8" s="162">
        <v>8</v>
      </c>
      <c r="O8" s="162">
        <v>9</v>
      </c>
      <c r="P8" s="162">
        <v>10</v>
      </c>
      <c r="Q8" s="162">
        <v>11</v>
      </c>
      <c r="R8" s="162">
        <v>12</v>
      </c>
      <c r="S8" s="162">
        <v>13</v>
      </c>
      <c r="T8" s="162">
        <v>14</v>
      </c>
      <c r="U8" s="162">
        <v>15</v>
      </c>
      <c r="V8" s="162">
        <v>16</v>
      </c>
    </row>
    <row r="9" spans="1:35" x14ac:dyDescent="0.2">
      <c r="A9" s="158">
        <v>1</v>
      </c>
      <c r="B9" s="171" t="s">
        <v>635</v>
      </c>
      <c r="C9" s="174">
        <v>80</v>
      </c>
      <c r="D9" s="176">
        <v>35</v>
      </c>
      <c r="E9" s="176">
        <v>80</v>
      </c>
      <c r="F9" s="176">
        <v>35</v>
      </c>
      <c r="G9" s="177">
        <v>9</v>
      </c>
      <c r="H9" s="177">
        <v>11</v>
      </c>
      <c r="I9" s="177">
        <v>15</v>
      </c>
      <c r="J9" s="177">
        <v>16</v>
      </c>
      <c r="K9" s="177">
        <v>14</v>
      </c>
      <c r="L9" s="177">
        <v>13</v>
      </c>
      <c r="M9" s="177">
        <v>12</v>
      </c>
      <c r="N9" s="177">
        <v>13</v>
      </c>
      <c r="O9" s="177">
        <v>18</v>
      </c>
      <c r="P9" s="177">
        <v>15</v>
      </c>
      <c r="Q9" s="177">
        <v>12</v>
      </c>
      <c r="R9" s="177">
        <v>14</v>
      </c>
      <c r="S9" s="177">
        <v>19</v>
      </c>
      <c r="T9" s="177">
        <v>13</v>
      </c>
      <c r="U9" s="177">
        <v>11</v>
      </c>
      <c r="V9" s="177">
        <v>15</v>
      </c>
    </row>
    <row r="10" spans="1:35" x14ac:dyDescent="0.2">
      <c r="A10" s="158">
        <v>2</v>
      </c>
      <c r="B10" s="171" t="s">
        <v>636</v>
      </c>
      <c r="C10" s="174">
        <v>115</v>
      </c>
      <c r="D10" s="176">
        <v>35</v>
      </c>
      <c r="E10" s="176">
        <v>80</v>
      </c>
      <c r="F10" s="176">
        <v>35</v>
      </c>
      <c r="G10" s="177">
        <v>14</v>
      </c>
      <c r="H10" s="177">
        <v>14</v>
      </c>
      <c r="I10" s="177">
        <v>15</v>
      </c>
      <c r="J10" s="177">
        <v>16</v>
      </c>
      <c r="K10" s="177">
        <v>10</v>
      </c>
      <c r="L10" s="177">
        <v>12</v>
      </c>
      <c r="M10" s="177">
        <v>12</v>
      </c>
      <c r="N10" s="177">
        <v>13</v>
      </c>
      <c r="O10" s="177">
        <v>10</v>
      </c>
      <c r="P10" s="177">
        <v>17</v>
      </c>
      <c r="Q10" s="177">
        <v>21</v>
      </c>
      <c r="R10" s="177">
        <v>18</v>
      </c>
      <c r="S10" s="177">
        <v>11</v>
      </c>
      <c r="T10" s="177">
        <v>23</v>
      </c>
      <c r="U10" s="177">
        <v>2</v>
      </c>
      <c r="V10" s="177">
        <v>16</v>
      </c>
    </row>
    <row r="11" spans="1:35" x14ac:dyDescent="0.2">
      <c r="A11" s="158">
        <v>3</v>
      </c>
      <c r="B11" s="171" t="s">
        <v>637</v>
      </c>
      <c r="C11" s="174">
        <v>115</v>
      </c>
      <c r="D11" s="176">
        <v>35</v>
      </c>
      <c r="E11" s="176">
        <v>80</v>
      </c>
      <c r="F11" s="176">
        <v>35</v>
      </c>
      <c r="G11" s="177">
        <v>12</v>
      </c>
      <c r="H11" s="177">
        <v>18</v>
      </c>
      <c r="I11" s="177">
        <v>10</v>
      </c>
      <c r="J11" s="177">
        <v>13</v>
      </c>
      <c r="K11" s="177">
        <v>10</v>
      </c>
      <c r="L11" s="177">
        <v>7</v>
      </c>
      <c r="M11" s="177">
        <v>18</v>
      </c>
      <c r="N11" s="177">
        <v>16</v>
      </c>
      <c r="O11" s="177">
        <v>19</v>
      </c>
      <c r="P11" s="177">
        <v>17</v>
      </c>
      <c r="Q11" s="177">
        <v>23</v>
      </c>
      <c r="R11" s="177">
        <v>21</v>
      </c>
      <c r="S11" s="177">
        <v>17</v>
      </c>
      <c r="T11" s="177">
        <v>18</v>
      </c>
      <c r="U11" s="177">
        <v>0</v>
      </c>
      <c r="V11" s="177">
        <v>4</v>
      </c>
    </row>
    <row r="12" spans="1:35" x14ac:dyDescent="0.2">
      <c r="A12" s="158">
        <v>4</v>
      </c>
      <c r="B12" s="171" t="s">
        <v>638</v>
      </c>
      <c r="C12" s="174">
        <v>90</v>
      </c>
      <c r="D12" s="176">
        <v>35</v>
      </c>
      <c r="E12" s="176">
        <v>80</v>
      </c>
      <c r="F12" s="176">
        <v>65</v>
      </c>
      <c r="G12" s="177">
        <v>7</v>
      </c>
      <c r="H12" s="177">
        <v>13</v>
      </c>
      <c r="I12" s="177">
        <v>15</v>
      </c>
      <c r="J12" s="177">
        <v>13</v>
      </c>
      <c r="K12" s="177">
        <v>15</v>
      </c>
      <c r="L12" s="177">
        <v>10</v>
      </c>
      <c r="M12" s="177">
        <v>16</v>
      </c>
      <c r="N12" s="177">
        <v>22</v>
      </c>
      <c r="O12" s="177">
        <v>7</v>
      </c>
      <c r="P12" s="177">
        <v>10</v>
      </c>
      <c r="Q12" s="177">
        <v>18</v>
      </c>
      <c r="R12" s="177">
        <v>16</v>
      </c>
      <c r="S12" s="177">
        <v>23</v>
      </c>
      <c r="T12" s="177">
        <v>18</v>
      </c>
      <c r="U12" s="177">
        <v>4</v>
      </c>
      <c r="V12" s="177">
        <v>8</v>
      </c>
    </row>
    <row r="13" spans="1:35" x14ac:dyDescent="0.2">
      <c r="A13" s="158">
        <v>5</v>
      </c>
      <c r="B13" s="171" t="s">
        <v>639</v>
      </c>
      <c r="C13" s="174">
        <v>109</v>
      </c>
      <c r="D13" s="176">
        <v>35</v>
      </c>
      <c r="E13" s="176">
        <v>80</v>
      </c>
      <c r="F13" s="176">
        <v>35</v>
      </c>
      <c r="G13" s="177">
        <v>9</v>
      </c>
      <c r="H13" s="177">
        <v>15</v>
      </c>
      <c r="I13" s="177">
        <v>10</v>
      </c>
      <c r="J13" s="177">
        <v>14</v>
      </c>
      <c r="K13" s="177">
        <v>19</v>
      </c>
      <c r="L13" s="177">
        <v>11</v>
      </c>
      <c r="M13" s="177">
        <v>13</v>
      </c>
      <c r="N13" s="177">
        <v>21</v>
      </c>
      <c r="O13" s="177">
        <v>5</v>
      </c>
      <c r="P13" s="177">
        <v>13</v>
      </c>
      <c r="Q13" s="177">
        <v>19</v>
      </c>
      <c r="R13" s="177">
        <v>13</v>
      </c>
      <c r="S13" s="177">
        <v>18</v>
      </c>
      <c r="T13" s="177">
        <v>16</v>
      </c>
      <c r="U13" s="177">
        <v>10</v>
      </c>
      <c r="V13" s="177">
        <v>11</v>
      </c>
    </row>
    <row r="14" spans="1:35" x14ac:dyDescent="0.2">
      <c r="A14" s="158">
        <v>6</v>
      </c>
      <c r="B14" s="171" t="s">
        <v>640</v>
      </c>
      <c r="C14" s="174">
        <v>109</v>
      </c>
      <c r="D14" s="176">
        <v>35</v>
      </c>
      <c r="E14" s="176">
        <v>80</v>
      </c>
      <c r="F14" s="176">
        <v>35</v>
      </c>
      <c r="G14" s="177">
        <v>11</v>
      </c>
      <c r="H14" s="177">
        <v>10</v>
      </c>
      <c r="I14" s="177">
        <v>10</v>
      </c>
      <c r="J14" s="177">
        <v>12</v>
      </c>
      <c r="K14" s="177">
        <v>19</v>
      </c>
      <c r="L14" s="177">
        <v>10</v>
      </c>
      <c r="M14" s="177">
        <v>17</v>
      </c>
      <c r="N14" s="177">
        <v>20</v>
      </c>
      <c r="O14" s="177">
        <v>7</v>
      </c>
      <c r="P14" s="177">
        <v>9</v>
      </c>
      <c r="Q14" s="177">
        <v>17</v>
      </c>
      <c r="R14" s="177">
        <v>18</v>
      </c>
      <c r="S14" s="177">
        <v>18</v>
      </c>
      <c r="T14" s="177">
        <v>19</v>
      </c>
      <c r="U14" s="177">
        <v>4</v>
      </c>
      <c r="V14" s="177">
        <v>18</v>
      </c>
    </row>
    <row r="15" spans="1:35" x14ac:dyDescent="0.2">
      <c r="A15" s="158">
        <v>7</v>
      </c>
      <c r="B15" s="171" t="s">
        <v>641</v>
      </c>
      <c r="C15" s="174">
        <v>80</v>
      </c>
      <c r="D15" s="176">
        <v>35</v>
      </c>
      <c r="E15" s="176">
        <v>80</v>
      </c>
      <c r="F15" s="176">
        <v>35</v>
      </c>
      <c r="G15" s="177">
        <v>8</v>
      </c>
      <c r="H15" s="177">
        <v>15</v>
      </c>
      <c r="I15" s="177">
        <v>14</v>
      </c>
      <c r="J15" s="177">
        <v>16</v>
      </c>
      <c r="K15" s="177">
        <v>9</v>
      </c>
      <c r="L15" s="177">
        <v>11</v>
      </c>
      <c r="M15" s="177">
        <v>18</v>
      </c>
      <c r="N15" s="177">
        <v>20</v>
      </c>
      <c r="O15" s="177">
        <v>14</v>
      </c>
      <c r="P15" s="177">
        <v>9</v>
      </c>
      <c r="Q15" s="177">
        <v>18</v>
      </c>
      <c r="R15" s="177">
        <v>14</v>
      </c>
      <c r="S15" s="177">
        <v>12</v>
      </c>
      <c r="T15" s="177">
        <v>18</v>
      </c>
      <c r="U15" s="177">
        <v>2</v>
      </c>
      <c r="V15" s="177">
        <v>20</v>
      </c>
    </row>
    <row r="16" spans="1:35" x14ac:dyDescent="0.2">
      <c r="A16" s="158">
        <v>8</v>
      </c>
      <c r="B16" s="171" t="s">
        <v>642</v>
      </c>
      <c r="C16" s="174">
        <v>89</v>
      </c>
      <c r="D16" s="176">
        <v>35</v>
      </c>
      <c r="E16" s="176">
        <v>80</v>
      </c>
      <c r="F16" s="176">
        <v>35</v>
      </c>
      <c r="G16" s="177">
        <v>11</v>
      </c>
      <c r="H16" s="177">
        <v>16</v>
      </c>
      <c r="I16" s="177">
        <v>12</v>
      </c>
      <c r="J16" s="177">
        <v>13</v>
      </c>
      <c r="K16" s="177">
        <v>12</v>
      </c>
      <c r="L16" s="177">
        <v>18</v>
      </c>
      <c r="M16" s="177">
        <v>9</v>
      </c>
      <c r="N16" s="177">
        <v>17</v>
      </c>
      <c r="O16" s="177">
        <v>15</v>
      </c>
      <c r="P16" s="177">
        <v>17</v>
      </c>
      <c r="Q16" s="177">
        <v>22</v>
      </c>
      <c r="R16" s="177">
        <v>13</v>
      </c>
      <c r="S16" s="177">
        <v>7</v>
      </c>
      <c r="T16" s="177">
        <v>11</v>
      </c>
      <c r="U16" s="177">
        <v>9</v>
      </c>
      <c r="V16" s="177">
        <v>18</v>
      </c>
    </row>
    <row r="17" spans="1:22" x14ac:dyDescent="0.2">
      <c r="A17" s="158">
        <v>9</v>
      </c>
      <c r="B17" s="171" t="s">
        <v>643</v>
      </c>
      <c r="C17" s="174">
        <v>115</v>
      </c>
      <c r="D17" s="176">
        <v>35</v>
      </c>
      <c r="E17" s="176">
        <v>80</v>
      </c>
      <c r="F17" s="176">
        <v>65</v>
      </c>
      <c r="G17" s="177">
        <v>11</v>
      </c>
      <c r="H17" s="177">
        <v>14</v>
      </c>
      <c r="I17" s="177">
        <v>12</v>
      </c>
      <c r="J17" s="177">
        <v>13</v>
      </c>
      <c r="K17" s="177">
        <v>13</v>
      </c>
      <c r="L17" s="177">
        <v>9</v>
      </c>
      <c r="M17" s="177">
        <v>13</v>
      </c>
      <c r="N17" s="177">
        <v>19</v>
      </c>
      <c r="O17" s="177">
        <v>20</v>
      </c>
      <c r="P17" s="177">
        <v>11</v>
      </c>
      <c r="Q17" s="177">
        <v>22</v>
      </c>
      <c r="R17" s="177">
        <v>20</v>
      </c>
      <c r="S17" s="177">
        <v>15</v>
      </c>
      <c r="T17" s="177">
        <v>18</v>
      </c>
      <c r="U17" s="177">
        <v>3</v>
      </c>
      <c r="V17" s="177">
        <v>5</v>
      </c>
    </row>
    <row r="18" spans="1:22" x14ac:dyDescent="0.2">
      <c r="A18" s="158">
        <v>10</v>
      </c>
      <c r="B18" s="171" t="s">
        <v>644</v>
      </c>
      <c r="C18" s="174">
        <v>105</v>
      </c>
      <c r="D18" s="176">
        <v>35</v>
      </c>
      <c r="E18" s="176">
        <v>80</v>
      </c>
      <c r="F18" s="176">
        <v>65</v>
      </c>
      <c r="G18" s="177">
        <v>9</v>
      </c>
      <c r="H18" s="177">
        <v>14</v>
      </c>
      <c r="I18" s="177">
        <v>12</v>
      </c>
      <c r="J18" s="177">
        <v>17</v>
      </c>
      <c r="K18" s="177">
        <v>17</v>
      </c>
      <c r="L18" s="177">
        <v>17</v>
      </c>
      <c r="M18" s="177">
        <v>14</v>
      </c>
      <c r="N18" s="177">
        <v>14</v>
      </c>
      <c r="O18" s="177">
        <v>17</v>
      </c>
      <c r="P18" s="177">
        <v>10</v>
      </c>
      <c r="Q18" s="177">
        <v>18</v>
      </c>
      <c r="R18" s="177">
        <v>16</v>
      </c>
      <c r="S18" s="177">
        <v>12</v>
      </c>
      <c r="T18" s="177">
        <v>13</v>
      </c>
      <c r="U18" s="177">
        <v>4</v>
      </c>
      <c r="V18" s="177">
        <v>14</v>
      </c>
    </row>
    <row r="19" spans="1:22" x14ac:dyDescent="0.2">
      <c r="A19" s="158">
        <v>11</v>
      </c>
      <c r="B19" s="171" t="s">
        <v>645</v>
      </c>
      <c r="C19" s="174">
        <v>105</v>
      </c>
      <c r="D19" s="176">
        <v>35</v>
      </c>
      <c r="E19" s="176">
        <v>80</v>
      </c>
      <c r="F19" s="176">
        <v>35</v>
      </c>
      <c r="G19" s="177">
        <v>14</v>
      </c>
      <c r="H19" s="177">
        <v>13</v>
      </c>
      <c r="I19" s="177">
        <v>9</v>
      </c>
      <c r="J19" s="177">
        <v>14</v>
      </c>
      <c r="K19" s="177">
        <v>16</v>
      </c>
      <c r="L19" s="177">
        <v>8</v>
      </c>
      <c r="M19" s="177">
        <v>16</v>
      </c>
      <c r="N19" s="177">
        <v>16</v>
      </c>
      <c r="O19" s="177">
        <v>13</v>
      </c>
      <c r="P19" s="177">
        <v>15</v>
      </c>
      <c r="Q19" s="177">
        <v>12</v>
      </c>
      <c r="R19" s="177">
        <v>17</v>
      </c>
      <c r="S19" s="177">
        <v>23</v>
      </c>
      <c r="T19" s="177">
        <v>10</v>
      </c>
      <c r="U19" s="177">
        <v>2</v>
      </c>
      <c r="V19" s="177">
        <v>26</v>
      </c>
    </row>
    <row r="20" spans="1:22" x14ac:dyDescent="0.2">
      <c r="A20" s="158">
        <v>12</v>
      </c>
      <c r="B20" s="171" t="s">
        <v>646</v>
      </c>
      <c r="C20" s="174">
        <v>85</v>
      </c>
      <c r="D20" s="176">
        <v>35</v>
      </c>
      <c r="E20" s="176">
        <v>80</v>
      </c>
      <c r="F20" s="176">
        <v>65</v>
      </c>
      <c r="G20" s="177">
        <v>13</v>
      </c>
      <c r="H20" s="177">
        <v>13</v>
      </c>
      <c r="I20" s="177">
        <v>15</v>
      </c>
      <c r="J20" s="177">
        <v>17</v>
      </c>
      <c r="K20" s="177">
        <v>18</v>
      </c>
      <c r="L20" s="177">
        <v>10</v>
      </c>
      <c r="M20" s="177">
        <v>17</v>
      </c>
      <c r="N20" s="177">
        <v>15</v>
      </c>
      <c r="O20" s="177">
        <v>16</v>
      </c>
      <c r="P20" s="177">
        <v>6</v>
      </c>
      <c r="Q20" s="177">
        <v>21</v>
      </c>
      <c r="R20" s="177">
        <v>16</v>
      </c>
      <c r="S20" s="177">
        <v>16</v>
      </c>
      <c r="T20" s="177">
        <v>18</v>
      </c>
      <c r="U20" s="177">
        <v>4</v>
      </c>
      <c r="V20" s="177">
        <v>9</v>
      </c>
    </row>
    <row r="21" spans="1:22" x14ac:dyDescent="0.2">
      <c r="A21" s="158">
        <v>13</v>
      </c>
      <c r="B21" s="171" t="s">
        <v>647</v>
      </c>
      <c r="C21" s="174">
        <v>105</v>
      </c>
      <c r="D21" s="176">
        <v>35</v>
      </c>
      <c r="E21" s="176">
        <v>80</v>
      </c>
      <c r="F21" s="176">
        <v>65</v>
      </c>
      <c r="G21" s="177">
        <v>11</v>
      </c>
      <c r="H21" s="177">
        <v>17</v>
      </c>
      <c r="I21" s="177">
        <v>15</v>
      </c>
      <c r="J21" s="177">
        <v>18</v>
      </c>
      <c r="K21" s="177">
        <v>10</v>
      </c>
      <c r="L21" s="177">
        <v>7</v>
      </c>
      <c r="M21" s="177">
        <v>13</v>
      </c>
      <c r="N21" s="177">
        <v>14</v>
      </c>
      <c r="O21" s="177">
        <v>11</v>
      </c>
      <c r="P21" s="177">
        <v>6</v>
      </c>
      <c r="Q21" s="177">
        <v>18</v>
      </c>
      <c r="R21" s="177">
        <v>18</v>
      </c>
      <c r="S21" s="177">
        <v>23</v>
      </c>
      <c r="T21" s="177">
        <v>24</v>
      </c>
      <c r="U21" s="177">
        <v>1</v>
      </c>
      <c r="V21" s="177">
        <v>13</v>
      </c>
    </row>
    <row r="22" spans="1:22" x14ac:dyDescent="0.2">
      <c r="A22" s="158">
        <v>14</v>
      </c>
      <c r="B22" s="171" t="s">
        <v>648</v>
      </c>
      <c r="C22" s="174">
        <v>110</v>
      </c>
      <c r="D22" s="176">
        <v>35</v>
      </c>
      <c r="E22" s="176">
        <v>80</v>
      </c>
      <c r="F22" s="176">
        <v>35</v>
      </c>
      <c r="G22" s="177">
        <v>10</v>
      </c>
      <c r="H22" s="177">
        <v>13</v>
      </c>
      <c r="I22" s="177">
        <v>13</v>
      </c>
      <c r="J22" s="177">
        <v>17</v>
      </c>
      <c r="K22" s="177">
        <v>19</v>
      </c>
      <c r="L22" s="177">
        <v>10</v>
      </c>
      <c r="M22" s="177">
        <v>11</v>
      </c>
      <c r="N22" s="177">
        <v>21</v>
      </c>
      <c r="O22" s="177">
        <v>7</v>
      </c>
      <c r="P22" s="177">
        <v>17</v>
      </c>
      <c r="Q22" s="177">
        <v>18</v>
      </c>
      <c r="R22" s="177">
        <v>15</v>
      </c>
      <c r="S22" s="177">
        <v>15</v>
      </c>
      <c r="T22" s="177">
        <v>14</v>
      </c>
      <c r="U22" s="177">
        <v>0</v>
      </c>
      <c r="V22" s="177">
        <v>19</v>
      </c>
    </row>
    <row r="23" spans="1:22" x14ac:dyDescent="0.2">
      <c r="A23" s="158">
        <v>15</v>
      </c>
      <c r="B23" s="171" t="s">
        <v>649</v>
      </c>
      <c r="C23" s="174">
        <v>115</v>
      </c>
      <c r="D23" s="176">
        <v>35</v>
      </c>
      <c r="E23" s="176">
        <v>80</v>
      </c>
      <c r="F23" s="176">
        <v>35</v>
      </c>
      <c r="G23" s="177">
        <v>14</v>
      </c>
      <c r="H23" s="177">
        <v>14</v>
      </c>
      <c r="I23" s="177">
        <v>12</v>
      </c>
      <c r="J23" s="177">
        <v>7</v>
      </c>
      <c r="K23" s="177">
        <v>15</v>
      </c>
      <c r="L23" s="177">
        <v>7</v>
      </c>
      <c r="M23" s="177">
        <v>15</v>
      </c>
      <c r="N23" s="177">
        <v>17</v>
      </c>
      <c r="O23" s="177">
        <v>18</v>
      </c>
      <c r="P23" s="177">
        <v>13</v>
      </c>
      <c r="Q23" s="177">
        <v>15</v>
      </c>
      <c r="R23" s="177">
        <v>24</v>
      </c>
      <c r="S23" s="177">
        <v>20</v>
      </c>
      <c r="T23" s="177">
        <v>11</v>
      </c>
      <c r="U23" s="177">
        <v>5</v>
      </c>
      <c r="V23" s="177">
        <v>18</v>
      </c>
    </row>
    <row r="24" spans="1:22" x14ac:dyDescent="0.2">
      <c r="A24" s="158">
        <v>16</v>
      </c>
      <c r="B24" s="171" t="s">
        <v>650</v>
      </c>
      <c r="C24" s="174">
        <v>105</v>
      </c>
      <c r="D24" s="176">
        <v>35</v>
      </c>
      <c r="E24" s="176">
        <v>80</v>
      </c>
      <c r="F24" s="176">
        <v>35</v>
      </c>
      <c r="G24" s="177">
        <v>12</v>
      </c>
      <c r="H24" s="177">
        <v>14</v>
      </c>
      <c r="I24" s="177">
        <v>10</v>
      </c>
      <c r="J24" s="177">
        <v>15</v>
      </c>
      <c r="K24" s="177">
        <v>16</v>
      </c>
      <c r="L24" s="177">
        <v>8</v>
      </c>
      <c r="M24" s="177">
        <v>15</v>
      </c>
      <c r="N24" s="177">
        <v>21</v>
      </c>
      <c r="O24" s="177">
        <v>15</v>
      </c>
      <c r="P24" s="177">
        <v>15</v>
      </c>
      <c r="Q24" s="177">
        <v>21</v>
      </c>
      <c r="R24" s="177">
        <v>11</v>
      </c>
      <c r="S24" s="177">
        <v>15</v>
      </c>
      <c r="T24" s="177">
        <v>17</v>
      </c>
      <c r="U24" s="177">
        <v>6</v>
      </c>
      <c r="V24" s="177">
        <v>11</v>
      </c>
    </row>
    <row r="25" spans="1:22" x14ac:dyDescent="0.2">
      <c r="A25" s="159">
        <v>17</v>
      </c>
      <c r="B25" s="173" t="s">
        <v>651</v>
      </c>
      <c r="C25" s="174">
        <v>119</v>
      </c>
      <c r="D25" s="176">
        <v>35</v>
      </c>
      <c r="E25" s="176">
        <v>80</v>
      </c>
      <c r="F25" s="176">
        <v>35</v>
      </c>
      <c r="G25" s="177">
        <v>11</v>
      </c>
      <c r="H25" s="177">
        <v>23</v>
      </c>
      <c r="I25" s="177">
        <v>7</v>
      </c>
      <c r="J25" s="177">
        <v>10</v>
      </c>
      <c r="K25" s="177">
        <v>12</v>
      </c>
      <c r="L25" s="177">
        <v>14</v>
      </c>
      <c r="M25" s="177">
        <v>14</v>
      </c>
      <c r="N25" s="177">
        <v>16</v>
      </c>
      <c r="O25" s="177">
        <v>15</v>
      </c>
      <c r="P25" s="177">
        <v>8</v>
      </c>
      <c r="Q25" s="177">
        <v>16</v>
      </c>
      <c r="R25" s="177">
        <v>18</v>
      </c>
      <c r="S25" s="177">
        <v>14</v>
      </c>
      <c r="T25" s="177">
        <v>16</v>
      </c>
      <c r="U25" s="177">
        <v>14</v>
      </c>
      <c r="V25" s="177">
        <v>14</v>
      </c>
    </row>
    <row r="26" spans="1:22" x14ac:dyDescent="0.2">
      <c r="A26" s="158">
        <v>18</v>
      </c>
      <c r="B26" s="171" t="s">
        <v>652</v>
      </c>
      <c r="C26" s="174">
        <v>110</v>
      </c>
      <c r="D26" s="176">
        <v>35</v>
      </c>
      <c r="E26" s="176">
        <v>80</v>
      </c>
      <c r="F26" s="176">
        <v>65</v>
      </c>
      <c r="G26" s="177">
        <v>14</v>
      </c>
      <c r="H26" s="177">
        <v>15</v>
      </c>
      <c r="I26" s="177">
        <v>7</v>
      </c>
      <c r="J26" s="177">
        <v>17</v>
      </c>
      <c r="K26" s="177">
        <v>10</v>
      </c>
      <c r="L26" s="177">
        <v>7</v>
      </c>
      <c r="M26" s="177">
        <v>17</v>
      </c>
      <c r="N26" s="177">
        <v>16</v>
      </c>
      <c r="O26" s="177">
        <v>25</v>
      </c>
      <c r="P26" s="177">
        <v>6</v>
      </c>
      <c r="Q26" s="177">
        <v>20</v>
      </c>
      <c r="R26" s="177">
        <v>19</v>
      </c>
      <c r="S26" s="177">
        <v>15</v>
      </c>
      <c r="T26" s="177">
        <v>21</v>
      </c>
      <c r="U26" s="177">
        <v>0</v>
      </c>
      <c r="V26" s="177">
        <v>15</v>
      </c>
    </row>
    <row r="27" spans="1:22" x14ac:dyDescent="0.2">
      <c r="A27" s="158">
        <v>19</v>
      </c>
      <c r="B27" s="171" t="s">
        <v>653</v>
      </c>
      <c r="C27" s="174">
        <v>89</v>
      </c>
      <c r="D27" s="176">
        <v>35</v>
      </c>
      <c r="E27" s="176">
        <v>80</v>
      </c>
      <c r="F27" s="176">
        <v>65</v>
      </c>
      <c r="G27" s="177">
        <v>8</v>
      </c>
      <c r="H27" s="177">
        <v>15</v>
      </c>
      <c r="I27" s="177">
        <v>12</v>
      </c>
      <c r="J27" s="177">
        <v>15</v>
      </c>
      <c r="K27" s="177">
        <v>7</v>
      </c>
      <c r="L27" s="177">
        <v>9</v>
      </c>
      <c r="M27" s="177">
        <v>12</v>
      </c>
      <c r="N27" s="177">
        <v>15</v>
      </c>
      <c r="O27" s="177">
        <v>17</v>
      </c>
      <c r="P27" s="177">
        <v>16</v>
      </c>
      <c r="Q27" s="177">
        <v>24</v>
      </c>
      <c r="R27" s="177">
        <v>19</v>
      </c>
      <c r="S27" s="177">
        <v>17</v>
      </c>
      <c r="T27" s="177">
        <v>22</v>
      </c>
      <c r="U27" s="177">
        <v>3</v>
      </c>
      <c r="V27" s="177">
        <v>7</v>
      </c>
    </row>
    <row r="28" spans="1:22" x14ac:dyDescent="0.2">
      <c r="A28" s="158">
        <v>20</v>
      </c>
      <c r="B28" s="171" t="s">
        <v>654</v>
      </c>
      <c r="C28" s="174">
        <v>89</v>
      </c>
      <c r="D28" s="176">
        <v>35</v>
      </c>
      <c r="E28" s="176">
        <v>35</v>
      </c>
      <c r="F28" s="176">
        <v>35</v>
      </c>
      <c r="G28" s="177">
        <v>13</v>
      </c>
      <c r="H28" s="177">
        <v>14</v>
      </c>
      <c r="I28" s="177">
        <v>12</v>
      </c>
      <c r="J28" s="177">
        <v>15</v>
      </c>
      <c r="K28" s="177">
        <v>11</v>
      </c>
      <c r="L28" s="177">
        <v>12</v>
      </c>
      <c r="M28" s="177">
        <v>13</v>
      </c>
      <c r="N28" s="177">
        <v>18</v>
      </c>
      <c r="O28" s="177">
        <v>13</v>
      </c>
      <c r="P28" s="177">
        <v>18</v>
      </c>
      <c r="Q28" s="177">
        <v>15</v>
      </c>
      <c r="R28" s="177">
        <v>20</v>
      </c>
      <c r="S28" s="177">
        <v>16</v>
      </c>
      <c r="T28" s="177">
        <v>19</v>
      </c>
      <c r="U28" s="177">
        <v>4</v>
      </c>
      <c r="V28" s="177">
        <v>7</v>
      </c>
    </row>
    <row r="29" spans="1:22" x14ac:dyDescent="0.2">
      <c r="A29" s="158">
        <v>21</v>
      </c>
      <c r="B29" s="171" t="s">
        <v>655</v>
      </c>
      <c r="C29" s="174">
        <v>90</v>
      </c>
      <c r="D29" s="176">
        <v>35</v>
      </c>
      <c r="E29" s="176">
        <v>80</v>
      </c>
      <c r="F29" s="176">
        <v>35</v>
      </c>
      <c r="G29" s="177">
        <v>12</v>
      </c>
      <c r="H29" s="177">
        <v>13</v>
      </c>
      <c r="I29" s="177">
        <v>13</v>
      </c>
      <c r="J29" s="177">
        <v>16</v>
      </c>
      <c r="K29" s="177">
        <v>7</v>
      </c>
      <c r="L29" s="177">
        <v>12</v>
      </c>
      <c r="M29" s="177">
        <v>17</v>
      </c>
      <c r="N29" s="177">
        <v>18</v>
      </c>
      <c r="O29" s="177">
        <v>10</v>
      </c>
      <c r="P29" s="177">
        <v>10</v>
      </c>
      <c r="Q29" s="177">
        <v>22</v>
      </c>
      <c r="R29" s="177">
        <v>8</v>
      </c>
      <c r="S29" s="177">
        <v>22</v>
      </c>
      <c r="T29" s="177">
        <v>21</v>
      </c>
      <c r="U29" s="177">
        <v>8</v>
      </c>
      <c r="V29" s="177">
        <v>13</v>
      </c>
    </row>
    <row r="30" spans="1:22" x14ac:dyDescent="0.2">
      <c r="A30" s="158">
        <v>22</v>
      </c>
      <c r="B30" s="171" t="s">
        <v>656</v>
      </c>
      <c r="C30" s="174">
        <v>109</v>
      </c>
      <c r="D30" s="176">
        <v>35</v>
      </c>
      <c r="E30" s="176">
        <v>80</v>
      </c>
      <c r="F30" s="176">
        <v>35</v>
      </c>
      <c r="G30" s="177">
        <v>10</v>
      </c>
      <c r="H30" s="177">
        <v>18</v>
      </c>
      <c r="I30" s="177">
        <v>12</v>
      </c>
      <c r="J30" s="177">
        <v>16</v>
      </c>
      <c r="K30" s="177">
        <v>14</v>
      </c>
      <c r="L30" s="177">
        <v>7</v>
      </c>
      <c r="M30" s="177">
        <v>14</v>
      </c>
      <c r="N30" s="177">
        <v>16</v>
      </c>
      <c r="O30" s="177">
        <v>19</v>
      </c>
      <c r="P30" s="177">
        <v>10</v>
      </c>
      <c r="Q30" s="177">
        <v>19</v>
      </c>
      <c r="R30" s="177">
        <v>18</v>
      </c>
      <c r="S30" s="177">
        <v>22</v>
      </c>
      <c r="T30" s="177">
        <v>17</v>
      </c>
      <c r="U30" s="177">
        <v>1</v>
      </c>
      <c r="V30" s="177">
        <v>7</v>
      </c>
    </row>
    <row r="31" spans="1:22" x14ac:dyDescent="0.2">
      <c r="A31" s="158">
        <v>23</v>
      </c>
      <c r="B31" s="171" t="s">
        <v>657</v>
      </c>
      <c r="C31" s="174">
        <v>89</v>
      </c>
      <c r="D31" s="176">
        <v>35</v>
      </c>
      <c r="E31" s="176">
        <v>35</v>
      </c>
      <c r="F31" s="176">
        <v>35</v>
      </c>
      <c r="G31" s="177">
        <v>10</v>
      </c>
      <c r="H31" s="177">
        <v>12</v>
      </c>
      <c r="I31" s="177">
        <v>12</v>
      </c>
      <c r="J31" s="177">
        <v>17</v>
      </c>
      <c r="K31" s="177">
        <v>12</v>
      </c>
      <c r="L31" s="177">
        <v>13</v>
      </c>
      <c r="M31" s="177">
        <v>12</v>
      </c>
      <c r="N31" s="177">
        <v>15</v>
      </c>
      <c r="O31" s="177">
        <v>16</v>
      </c>
      <c r="P31" s="177">
        <v>13</v>
      </c>
      <c r="Q31" s="177">
        <v>21</v>
      </c>
      <c r="R31" s="177">
        <v>16</v>
      </c>
      <c r="S31" s="177">
        <v>19</v>
      </c>
      <c r="T31" s="177">
        <v>20</v>
      </c>
      <c r="U31" s="177">
        <v>1</v>
      </c>
      <c r="V31" s="177">
        <v>11</v>
      </c>
    </row>
    <row r="32" spans="1:22" x14ac:dyDescent="0.2">
      <c r="A32" s="158">
        <v>24</v>
      </c>
      <c r="B32" s="171" t="s">
        <v>658</v>
      </c>
      <c r="C32" s="174">
        <v>90</v>
      </c>
      <c r="D32" s="176">
        <v>35</v>
      </c>
      <c r="E32" s="176">
        <v>80</v>
      </c>
      <c r="F32" s="176">
        <v>65</v>
      </c>
      <c r="G32" s="177">
        <v>13</v>
      </c>
      <c r="H32" s="177">
        <v>14</v>
      </c>
      <c r="I32" s="177">
        <v>13</v>
      </c>
      <c r="J32" s="177">
        <v>16</v>
      </c>
      <c r="K32" s="177">
        <v>15</v>
      </c>
      <c r="L32" s="177">
        <v>9</v>
      </c>
      <c r="M32" s="177">
        <v>18</v>
      </c>
      <c r="N32" s="177">
        <v>14</v>
      </c>
      <c r="O32" s="177">
        <v>5</v>
      </c>
      <c r="P32" s="177">
        <v>12</v>
      </c>
      <c r="Q32" s="177">
        <v>18</v>
      </c>
      <c r="R32" s="177">
        <v>21</v>
      </c>
      <c r="S32" s="177">
        <v>22</v>
      </c>
      <c r="T32" s="177">
        <v>22</v>
      </c>
      <c r="U32" s="177">
        <v>2</v>
      </c>
      <c r="V32" s="177">
        <v>7</v>
      </c>
    </row>
    <row r="33" spans="1:22" x14ac:dyDescent="0.2">
      <c r="A33" s="158">
        <v>25</v>
      </c>
      <c r="B33" s="171" t="s">
        <v>659</v>
      </c>
      <c r="C33" s="174">
        <v>80</v>
      </c>
      <c r="D33" s="176">
        <v>35</v>
      </c>
      <c r="E33" s="176">
        <v>80</v>
      </c>
      <c r="F33" s="176">
        <v>35</v>
      </c>
      <c r="G33" s="177">
        <v>10</v>
      </c>
      <c r="H33" s="177">
        <v>19</v>
      </c>
      <c r="I33" s="177">
        <v>12</v>
      </c>
      <c r="J33" s="177">
        <v>12</v>
      </c>
      <c r="K33" s="177">
        <v>13</v>
      </c>
      <c r="L33" s="177">
        <v>13</v>
      </c>
      <c r="M33" s="177">
        <v>14</v>
      </c>
      <c r="N33" s="177">
        <v>13</v>
      </c>
      <c r="O33" s="177">
        <v>14</v>
      </c>
      <c r="P33" s="177">
        <v>17</v>
      </c>
      <c r="Q33" s="177">
        <v>15</v>
      </c>
      <c r="R33" s="177">
        <v>15</v>
      </c>
      <c r="S33" s="177">
        <v>16</v>
      </c>
      <c r="T33" s="177">
        <v>10</v>
      </c>
      <c r="U33" s="177">
        <v>13</v>
      </c>
      <c r="V33" s="177">
        <v>13</v>
      </c>
    </row>
    <row r="34" spans="1:22" x14ac:dyDescent="0.2">
      <c r="A34" s="158">
        <v>26</v>
      </c>
      <c r="B34" s="171" t="s">
        <v>660</v>
      </c>
      <c r="C34" s="174">
        <v>109</v>
      </c>
      <c r="D34" s="176">
        <v>35</v>
      </c>
      <c r="E34" s="176">
        <v>80</v>
      </c>
      <c r="F34" s="176">
        <v>35</v>
      </c>
      <c r="G34" s="177">
        <v>13</v>
      </c>
      <c r="H34" s="177">
        <v>15</v>
      </c>
      <c r="I34" s="177">
        <v>8</v>
      </c>
      <c r="J34" s="177">
        <v>12</v>
      </c>
      <c r="K34" s="177">
        <v>10</v>
      </c>
      <c r="L34" s="177">
        <v>13</v>
      </c>
      <c r="M34" s="177">
        <v>10</v>
      </c>
      <c r="N34" s="177">
        <v>19</v>
      </c>
      <c r="O34" s="177">
        <v>17</v>
      </c>
      <c r="P34" s="177">
        <v>16</v>
      </c>
      <c r="Q34" s="177">
        <v>20</v>
      </c>
      <c r="R34" s="177">
        <v>20</v>
      </c>
      <c r="S34" s="177">
        <v>15</v>
      </c>
      <c r="T34" s="177">
        <v>13</v>
      </c>
      <c r="U34" s="177">
        <v>3</v>
      </c>
      <c r="V34" s="177">
        <v>18</v>
      </c>
    </row>
    <row r="35" spans="1:22" x14ac:dyDescent="0.2">
      <c r="A35" s="158">
        <v>27</v>
      </c>
      <c r="B35" s="171" t="s">
        <v>661</v>
      </c>
      <c r="C35" s="174">
        <v>80</v>
      </c>
      <c r="D35" s="176">
        <v>35</v>
      </c>
      <c r="E35" s="176">
        <v>80</v>
      </c>
      <c r="F35" s="176">
        <v>35</v>
      </c>
      <c r="G35" s="177">
        <v>7</v>
      </c>
      <c r="H35" s="177">
        <v>20</v>
      </c>
      <c r="I35" s="177">
        <v>8</v>
      </c>
      <c r="J35" s="177">
        <v>15</v>
      </c>
      <c r="K35" s="177">
        <v>11</v>
      </c>
      <c r="L35" s="177">
        <v>18</v>
      </c>
      <c r="M35" s="177">
        <v>13</v>
      </c>
      <c r="N35" s="177">
        <v>16</v>
      </c>
      <c r="O35" s="177">
        <v>12</v>
      </c>
      <c r="P35" s="177">
        <v>10</v>
      </c>
      <c r="Q35" s="177">
        <v>15</v>
      </c>
      <c r="R35" s="177">
        <v>18</v>
      </c>
      <c r="S35" s="177">
        <v>17</v>
      </c>
      <c r="T35" s="177">
        <v>14</v>
      </c>
      <c r="U35" s="177">
        <v>9</v>
      </c>
      <c r="V35" s="177">
        <v>11</v>
      </c>
    </row>
    <row r="36" spans="1:22" x14ac:dyDescent="0.2">
      <c r="A36" s="158">
        <v>28</v>
      </c>
      <c r="B36" s="171" t="s">
        <v>662</v>
      </c>
      <c r="C36" s="174">
        <v>85</v>
      </c>
      <c r="D36" s="176">
        <v>35</v>
      </c>
      <c r="E36" s="176">
        <v>80</v>
      </c>
      <c r="F36" s="176">
        <v>65</v>
      </c>
      <c r="G36" s="177">
        <v>9</v>
      </c>
      <c r="H36" s="177">
        <v>12</v>
      </c>
      <c r="I36" s="177">
        <v>16</v>
      </c>
      <c r="J36" s="177">
        <v>16</v>
      </c>
      <c r="K36" s="177">
        <v>13</v>
      </c>
      <c r="L36" s="177">
        <v>11</v>
      </c>
      <c r="M36" s="177">
        <v>13</v>
      </c>
      <c r="N36" s="177">
        <v>16</v>
      </c>
      <c r="O36" s="177">
        <v>18</v>
      </c>
      <c r="P36" s="177">
        <v>14</v>
      </c>
      <c r="Q36" s="177">
        <v>20</v>
      </c>
      <c r="R36" s="177">
        <v>19</v>
      </c>
      <c r="S36" s="177">
        <v>11</v>
      </c>
      <c r="T36" s="177">
        <v>16</v>
      </c>
      <c r="U36" s="177">
        <v>2</v>
      </c>
      <c r="V36" s="177">
        <v>13</v>
      </c>
    </row>
    <row r="37" spans="1:22" x14ac:dyDescent="0.2">
      <c r="A37" s="158">
        <v>29</v>
      </c>
      <c r="B37" s="171" t="s">
        <v>663</v>
      </c>
      <c r="C37" s="174">
        <v>119</v>
      </c>
      <c r="D37" s="176">
        <v>35</v>
      </c>
      <c r="E37" s="176">
        <v>80</v>
      </c>
      <c r="F37" s="176">
        <v>65</v>
      </c>
      <c r="G37" s="177">
        <v>14</v>
      </c>
      <c r="H37" s="177">
        <v>12</v>
      </c>
      <c r="I37" s="177">
        <v>16</v>
      </c>
      <c r="J37" s="177">
        <v>16</v>
      </c>
      <c r="K37" s="177">
        <v>13</v>
      </c>
      <c r="L37" s="177">
        <v>11</v>
      </c>
      <c r="M37" s="177">
        <v>13</v>
      </c>
      <c r="N37" s="177">
        <v>16</v>
      </c>
      <c r="O37" s="177">
        <v>18</v>
      </c>
      <c r="P37" s="177">
        <v>14</v>
      </c>
      <c r="Q37" s="177">
        <v>20</v>
      </c>
      <c r="R37" s="177">
        <v>19</v>
      </c>
      <c r="S37" s="177">
        <v>11</v>
      </c>
      <c r="T37" s="177">
        <v>16</v>
      </c>
      <c r="U37" s="177">
        <v>2</v>
      </c>
      <c r="V37" s="177">
        <v>13</v>
      </c>
    </row>
    <row r="38" spans="1:22" x14ac:dyDescent="0.2">
      <c r="A38" s="158">
        <v>30</v>
      </c>
      <c r="B38" s="171" t="s">
        <v>664</v>
      </c>
      <c r="C38" s="174">
        <v>90</v>
      </c>
      <c r="D38" s="176">
        <v>35</v>
      </c>
      <c r="E38" s="176">
        <v>80</v>
      </c>
      <c r="F38" s="176">
        <v>35</v>
      </c>
      <c r="G38" s="177">
        <v>10</v>
      </c>
      <c r="H38" s="177">
        <v>17</v>
      </c>
      <c r="I38" s="177">
        <v>12</v>
      </c>
      <c r="J38" s="177">
        <v>11</v>
      </c>
      <c r="K38" s="177">
        <v>16</v>
      </c>
      <c r="L38" s="177">
        <v>6</v>
      </c>
      <c r="M38" s="177">
        <v>14</v>
      </c>
      <c r="N38" s="177">
        <v>14</v>
      </c>
      <c r="O38" s="177">
        <v>19</v>
      </c>
      <c r="P38" s="177">
        <v>10</v>
      </c>
      <c r="Q38" s="177">
        <v>23</v>
      </c>
      <c r="R38" s="177">
        <v>20</v>
      </c>
      <c r="S38" s="177">
        <v>15</v>
      </c>
      <c r="T38" s="177">
        <v>21</v>
      </c>
      <c r="U38" s="177">
        <v>2</v>
      </c>
      <c r="V38" s="177">
        <v>10</v>
      </c>
    </row>
    <row r="39" spans="1:22" x14ac:dyDescent="0.2">
      <c r="A39" s="158">
        <v>31</v>
      </c>
      <c r="B39" s="171" t="s">
        <v>665</v>
      </c>
      <c r="C39" s="174">
        <v>80</v>
      </c>
      <c r="D39" s="176">
        <v>35</v>
      </c>
      <c r="E39" s="176">
        <v>80</v>
      </c>
      <c r="F39" s="176">
        <v>35</v>
      </c>
      <c r="G39" s="177">
        <v>13</v>
      </c>
      <c r="H39" s="177">
        <v>12</v>
      </c>
      <c r="I39" s="177">
        <v>13</v>
      </c>
      <c r="J39" s="177">
        <v>12</v>
      </c>
      <c r="K39" s="177">
        <v>17</v>
      </c>
      <c r="L39" s="177">
        <v>10</v>
      </c>
      <c r="M39" s="177">
        <v>20</v>
      </c>
      <c r="N39" s="177">
        <v>20</v>
      </c>
      <c r="O39" s="177">
        <v>14</v>
      </c>
      <c r="P39" s="177">
        <v>13</v>
      </c>
      <c r="Q39" s="177">
        <v>19</v>
      </c>
      <c r="R39" s="177">
        <v>14</v>
      </c>
      <c r="S39" s="177">
        <v>17</v>
      </c>
      <c r="T39" s="177">
        <v>11</v>
      </c>
      <c r="U39" s="177">
        <v>5</v>
      </c>
      <c r="V39" s="177">
        <v>10</v>
      </c>
    </row>
    <row r="40" spans="1:22" x14ac:dyDescent="0.2">
      <c r="A40" s="158">
        <v>32</v>
      </c>
      <c r="B40" s="171" t="s">
        <v>666</v>
      </c>
      <c r="C40" s="174">
        <v>80</v>
      </c>
      <c r="D40" s="176">
        <v>35</v>
      </c>
      <c r="E40" s="176">
        <v>80</v>
      </c>
      <c r="F40" s="176">
        <v>35</v>
      </c>
      <c r="G40" s="177">
        <v>7</v>
      </c>
      <c r="H40" s="177">
        <v>19</v>
      </c>
      <c r="I40" s="177">
        <v>10</v>
      </c>
      <c r="J40" s="177">
        <v>10</v>
      </c>
      <c r="K40" s="177">
        <v>11</v>
      </c>
      <c r="L40" s="177">
        <v>12</v>
      </c>
      <c r="M40" s="177">
        <v>16</v>
      </c>
      <c r="N40" s="177">
        <v>23</v>
      </c>
      <c r="O40" s="177">
        <v>21</v>
      </c>
      <c r="P40" s="177">
        <v>7</v>
      </c>
      <c r="Q40" s="177">
        <v>23</v>
      </c>
      <c r="R40" s="177">
        <v>26</v>
      </c>
      <c r="S40" s="177">
        <v>11</v>
      </c>
      <c r="T40" s="177">
        <v>8</v>
      </c>
      <c r="U40" s="177">
        <v>0</v>
      </c>
      <c r="V40" s="177">
        <v>13</v>
      </c>
    </row>
    <row r="41" spans="1:22" x14ac:dyDescent="0.2">
      <c r="A41" s="158">
        <v>33</v>
      </c>
      <c r="B41" s="171" t="s">
        <v>667</v>
      </c>
      <c r="C41" s="174">
        <v>115</v>
      </c>
      <c r="D41" s="176">
        <v>35</v>
      </c>
      <c r="E41" s="176">
        <v>80</v>
      </c>
      <c r="F41" s="176">
        <v>35</v>
      </c>
      <c r="G41" s="177">
        <v>9</v>
      </c>
      <c r="H41" s="177">
        <v>13</v>
      </c>
      <c r="I41" s="177">
        <v>9</v>
      </c>
      <c r="J41" s="177">
        <v>16</v>
      </c>
      <c r="K41" s="177">
        <v>10</v>
      </c>
      <c r="L41" s="177">
        <v>14</v>
      </c>
      <c r="M41" s="177">
        <v>9</v>
      </c>
      <c r="N41" s="177">
        <v>15</v>
      </c>
      <c r="O41" s="177">
        <v>19</v>
      </c>
      <c r="P41" s="177">
        <v>16</v>
      </c>
      <c r="Q41" s="177">
        <v>21</v>
      </c>
      <c r="R41" s="177">
        <v>13</v>
      </c>
      <c r="S41" s="177">
        <v>18</v>
      </c>
      <c r="T41" s="177">
        <v>18</v>
      </c>
      <c r="U41" s="177">
        <v>1</v>
      </c>
      <c r="V41" s="177">
        <v>18</v>
      </c>
    </row>
    <row r="42" spans="1:22" x14ac:dyDescent="0.2">
      <c r="A42" s="158">
        <v>34</v>
      </c>
      <c r="B42" s="171" t="s">
        <v>668</v>
      </c>
      <c r="C42" s="174">
        <v>90</v>
      </c>
      <c r="D42" s="176">
        <v>35</v>
      </c>
      <c r="E42" s="176">
        <v>80</v>
      </c>
      <c r="F42" s="176">
        <v>35</v>
      </c>
      <c r="G42" s="177">
        <v>10</v>
      </c>
      <c r="H42" s="177">
        <v>17</v>
      </c>
      <c r="I42" s="177">
        <v>14</v>
      </c>
      <c r="J42" s="177">
        <v>9</v>
      </c>
      <c r="K42" s="177">
        <v>12</v>
      </c>
      <c r="L42" s="177">
        <v>5</v>
      </c>
      <c r="M42" s="177">
        <v>13</v>
      </c>
      <c r="N42" s="177">
        <v>19</v>
      </c>
      <c r="O42" s="177">
        <v>14</v>
      </c>
      <c r="P42" s="177">
        <v>10</v>
      </c>
      <c r="Q42" s="177">
        <v>19</v>
      </c>
      <c r="R42" s="177">
        <v>22</v>
      </c>
      <c r="S42" s="177">
        <v>23</v>
      </c>
      <c r="T42" s="177">
        <v>8</v>
      </c>
      <c r="U42" s="177">
        <v>10</v>
      </c>
      <c r="V42" s="177">
        <v>15</v>
      </c>
    </row>
    <row r="43" spans="1:22" x14ac:dyDescent="0.2">
      <c r="A43" s="158">
        <v>35</v>
      </c>
      <c r="B43" s="171" t="s">
        <v>669</v>
      </c>
      <c r="C43" s="174">
        <v>115</v>
      </c>
      <c r="D43" s="176">
        <v>35</v>
      </c>
      <c r="E43" s="176">
        <v>80</v>
      </c>
      <c r="F43" s="176">
        <v>35</v>
      </c>
      <c r="G43" s="177">
        <v>13</v>
      </c>
      <c r="H43" s="177">
        <v>22</v>
      </c>
      <c r="I43" s="177">
        <v>16</v>
      </c>
      <c r="J43" s="177">
        <v>15</v>
      </c>
      <c r="K43" s="177">
        <v>8</v>
      </c>
      <c r="L43" s="177">
        <v>9</v>
      </c>
      <c r="M43" s="177">
        <v>11</v>
      </c>
      <c r="N43" s="177">
        <v>16</v>
      </c>
      <c r="O43" s="177">
        <v>18</v>
      </c>
      <c r="P43" s="177">
        <v>14</v>
      </c>
      <c r="Q43" s="177">
        <v>22</v>
      </c>
      <c r="R43" s="177">
        <v>17</v>
      </c>
      <c r="S43" s="177">
        <v>19</v>
      </c>
      <c r="T43" s="177">
        <v>21</v>
      </c>
      <c r="U43" s="177">
        <v>0</v>
      </c>
      <c r="V43" s="177">
        <v>4</v>
      </c>
    </row>
    <row r="44" spans="1:22" x14ac:dyDescent="0.2">
      <c r="A44" s="158">
        <v>36</v>
      </c>
      <c r="B44" s="171" t="s">
        <v>670</v>
      </c>
      <c r="C44" s="174">
        <v>90</v>
      </c>
      <c r="D44" s="176">
        <v>35</v>
      </c>
      <c r="E44" s="176">
        <v>80</v>
      </c>
      <c r="F44" s="176">
        <v>35</v>
      </c>
      <c r="G44" s="177">
        <v>8</v>
      </c>
      <c r="H44" s="177">
        <v>14</v>
      </c>
      <c r="I44" s="177">
        <v>8</v>
      </c>
      <c r="J44" s="177">
        <v>9</v>
      </c>
      <c r="K44" s="177">
        <v>9</v>
      </c>
      <c r="L44" s="177">
        <v>12</v>
      </c>
      <c r="M44" s="177">
        <v>18</v>
      </c>
      <c r="N44" s="177">
        <v>12</v>
      </c>
      <c r="O44" s="177">
        <v>14</v>
      </c>
      <c r="P44" s="177">
        <v>14</v>
      </c>
      <c r="Q44" s="177">
        <v>13</v>
      </c>
      <c r="R44" s="177">
        <v>21</v>
      </c>
      <c r="S44" s="177">
        <v>12</v>
      </c>
      <c r="T44" s="177">
        <v>18</v>
      </c>
      <c r="U44" s="177">
        <v>12</v>
      </c>
      <c r="V44" s="177">
        <v>17</v>
      </c>
    </row>
    <row r="45" spans="1:22" x14ac:dyDescent="0.2">
      <c r="A45" s="158"/>
      <c r="B45" s="171"/>
      <c r="C45" s="174"/>
      <c r="D45" s="176"/>
      <c r="E45" s="176"/>
      <c r="F45" s="176"/>
      <c r="G45" s="177"/>
      <c r="H45" s="177"/>
      <c r="I45" s="177"/>
      <c r="J45" s="177"/>
      <c r="K45" s="177"/>
      <c r="L45" s="177"/>
      <c r="M45" s="177"/>
      <c r="N45" s="177"/>
      <c r="O45" s="177"/>
      <c r="P45" s="177"/>
      <c r="Q45" s="177"/>
      <c r="R45" s="177"/>
      <c r="S45" s="177"/>
      <c r="T45" s="177"/>
      <c r="U45" s="177"/>
      <c r="V45" s="177"/>
    </row>
  </sheetData>
  <mergeCells count="9">
    <mergeCell ref="A3:V3"/>
    <mergeCell ref="A4:V4"/>
    <mergeCell ref="A5:V5"/>
    <mergeCell ref="A6:V6"/>
    <mergeCell ref="A7:A8"/>
    <mergeCell ref="B7:B8"/>
    <mergeCell ref="C7:C8"/>
    <mergeCell ref="D7:F7"/>
    <mergeCell ref="G7:V7"/>
  </mergeCells>
  <pageMargins left="0.45" right="0.2" top="0.5" bottom="0.5" header="0.3" footer="0.3"/>
  <pageSetup paperSize="9" scale="85"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73"/>
  <sheetViews>
    <sheetView workbookViewId="0">
      <selection activeCell="K8" sqref="K8"/>
    </sheetView>
  </sheetViews>
  <sheetFormatPr defaultColWidth="8.875" defaultRowHeight="15" x14ac:dyDescent="0.2"/>
  <cols>
    <col min="1" max="1" width="7.3984375" customWidth="1"/>
    <col min="2" max="2" width="48.42578125" bestFit="1" customWidth="1"/>
    <col min="3" max="3" width="4.9765625" customWidth="1"/>
    <col min="4" max="4" width="4.4375" customWidth="1"/>
    <col min="5" max="5" width="4.70703125" customWidth="1"/>
    <col min="6" max="7" width="4.4375" customWidth="1"/>
    <col min="8" max="8" width="4.70703125" customWidth="1"/>
    <col min="9" max="9" width="4.4375" customWidth="1"/>
    <col min="10" max="12" width="4.83984375" customWidth="1"/>
    <col min="13" max="13" width="4.4375" customWidth="1"/>
    <col min="14" max="14" width="4.83984375" customWidth="1"/>
    <col min="15" max="17" width="4.70703125" customWidth="1"/>
    <col min="18" max="18" width="4.4375" customWidth="1"/>
    <col min="19" max="21" width="4.83984375" customWidth="1"/>
    <col min="22" max="22" width="4.70703125" customWidth="1"/>
    <col min="23" max="24" width="4.83984375" customWidth="1"/>
    <col min="25" max="27" width="4.4375" customWidth="1"/>
    <col min="28" max="29" width="4.70703125" customWidth="1"/>
    <col min="30" max="32" width="4.4375" customWidth="1"/>
    <col min="33" max="33" width="4.70703125" customWidth="1"/>
    <col min="34" max="34" width="4.83984375" customWidth="1"/>
    <col min="35" max="35" width="4.70703125" customWidth="1"/>
  </cols>
  <sheetData>
    <row r="1" spans="1:35" ht="21" x14ac:dyDescent="0.2">
      <c r="A1" s="19" t="s">
        <v>6</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row>
    <row r="2" spans="1:35" ht="18.75" x14ac:dyDescent="0.2">
      <c r="A2" s="20" t="s">
        <v>419</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row>
    <row r="3" spans="1:35" ht="18.75" x14ac:dyDescent="0.2">
      <c r="A3" s="20" t="s">
        <v>422</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row>
    <row r="4" spans="1:35" ht="18.75" x14ac:dyDescent="0.2">
      <c r="A4" s="36"/>
      <c r="B4" s="36" t="s">
        <v>86</v>
      </c>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row>
    <row r="5" spans="1:35" x14ac:dyDescent="0.2">
      <c r="B5" s="37">
        <v>45283</v>
      </c>
    </row>
    <row r="6" spans="1:35" x14ac:dyDescent="0.2">
      <c r="A6" s="189" t="s">
        <v>0</v>
      </c>
      <c r="B6" s="191" t="s">
        <v>1</v>
      </c>
      <c r="C6" s="191" t="s">
        <v>5</v>
      </c>
      <c r="D6" s="193" t="s">
        <v>2</v>
      </c>
      <c r="E6" s="72" t="s">
        <v>4</v>
      </c>
      <c r="F6" s="73"/>
      <c r="G6" s="74"/>
      <c r="H6" s="188" t="s">
        <v>88</v>
      </c>
      <c r="I6" s="188"/>
      <c r="J6" s="188"/>
      <c r="K6" s="188"/>
      <c r="L6" s="188"/>
      <c r="M6" s="188"/>
      <c r="N6" s="188"/>
      <c r="O6" s="188"/>
      <c r="P6" s="188"/>
      <c r="Q6" s="188"/>
      <c r="R6" s="188"/>
      <c r="S6" s="188"/>
      <c r="T6" s="188"/>
      <c r="U6" s="188"/>
      <c r="V6" s="188"/>
      <c r="W6" s="188"/>
      <c r="X6" s="188" t="s">
        <v>18</v>
      </c>
      <c r="Y6" s="188"/>
      <c r="Z6" s="188"/>
      <c r="AA6" s="188"/>
      <c r="AB6" s="188"/>
      <c r="AC6" s="188"/>
      <c r="AD6" s="188"/>
      <c r="AE6" s="188"/>
      <c r="AF6" s="188"/>
      <c r="AG6" s="188"/>
      <c r="AH6" s="188"/>
      <c r="AI6" s="188"/>
    </row>
    <row r="7" spans="1:35" x14ac:dyDescent="0.2">
      <c r="A7" s="190"/>
      <c r="B7" s="192"/>
      <c r="C7" s="192"/>
      <c r="D7" s="194"/>
      <c r="E7" s="71">
        <v>1</v>
      </c>
      <c r="F7" s="71">
        <v>2</v>
      </c>
      <c r="G7" s="71">
        <v>3</v>
      </c>
      <c r="H7" s="75">
        <v>1</v>
      </c>
      <c r="I7" s="75">
        <v>2</v>
      </c>
      <c r="J7" s="75">
        <v>3</v>
      </c>
      <c r="K7" s="75">
        <v>4</v>
      </c>
      <c r="L7" s="75">
        <v>5</v>
      </c>
      <c r="M7" s="75">
        <v>6</v>
      </c>
      <c r="N7" s="75">
        <v>7</v>
      </c>
      <c r="O7" s="75">
        <v>8</v>
      </c>
      <c r="P7" s="75">
        <v>9</v>
      </c>
      <c r="Q7" s="75">
        <v>10</v>
      </c>
      <c r="R7" s="75">
        <v>11</v>
      </c>
      <c r="S7" s="75">
        <v>12</v>
      </c>
      <c r="T7" s="75">
        <v>13</v>
      </c>
      <c r="U7" s="75">
        <v>14</v>
      </c>
      <c r="V7" s="75">
        <v>15</v>
      </c>
      <c r="W7" s="75">
        <v>16</v>
      </c>
      <c r="X7" s="76">
        <v>1</v>
      </c>
      <c r="Y7" s="76">
        <v>2</v>
      </c>
      <c r="Z7" s="76">
        <v>3</v>
      </c>
      <c r="AA7" s="76">
        <v>4</v>
      </c>
      <c r="AB7" s="76">
        <v>5</v>
      </c>
      <c r="AC7" s="76">
        <v>6</v>
      </c>
      <c r="AD7" s="76">
        <v>7</v>
      </c>
      <c r="AE7" s="76">
        <v>8</v>
      </c>
      <c r="AF7" s="76">
        <v>9</v>
      </c>
      <c r="AG7" s="76">
        <v>10</v>
      </c>
      <c r="AH7" s="76">
        <v>31</v>
      </c>
      <c r="AI7" s="76">
        <v>32</v>
      </c>
    </row>
    <row r="8" spans="1:35" x14ac:dyDescent="0.2">
      <c r="A8" s="2">
        <v>1</v>
      </c>
      <c r="B8" s="171" t="s">
        <v>386</v>
      </c>
      <c r="C8" s="158"/>
      <c r="D8" s="158">
        <v>115</v>
      </c>
      <c r="E8" s="158">
        <v>35</v>
      </c>
      <c r="F8" s="158">
        <v>35</v>
      </c>
      <c r="G8" s="158">
        <v>35</v>
      </c>
      <c r="H8" s="158">
        <v>7</v>
      </c>
      <c r="I8" s="158">
        <v>11</v>
      </c>
      <c r="J8" s="158">
        <v>12</v>
      </c>
      <c r="K8" s="158">
        <v>15</v>
      </c>
      <c r="L8" s="158">
        <v>12</v>
      </c>
      <c r="M8" s="158">
        <v>9</v>
      </c>
      <c r="N8" s="158">
        <v>16</v>
      </c>
      <c r="O8" s="158">
        <v>12</v>
      </c>
      <c r="P8" s="158">
        <v>13</v>
      </c>
      <c r="Q8" s="158">
        <v>10</v>
      </c>
      <c r="R8" s="158">
        <v>16</v>
      </c>
      <c r="S8" s="158">
        <v>9</v>
      </c>
      <c r="T8" s="158">
        <v>14</v>
      </c>
      <c r="U8" s="158">
        <v>17</v>
      </c>
      <c r="V8" s="158">
        <v>11</v>
      </c>
      <c r="W8" s="158">
        <v>16</v>
      </c>
      <c r="X8" s="5"/>
      <c r="Y8" s="5"/>
      <c r="Z8" s="5"/>
      <c r="AA8" s="5"/>
      <c r="AB8" s="5"/>
      <c r="AC8" s="5"/>
      <c r="AD8" s="5"/>
      <c r="AE8" s="5"/>
      <c r="AF8" s="5"/>
      <c r="AG8" s="1"/>
      <c r="AH8" s="1"/>
      <c r="AI8" s="1"/>
    </row>
    <row r="9" spans="1:35" x14ac:dyDescent="0.2">
      <c r="A9" s="2">
        <v>2</v>
      </c>
      <c r="B9" s="171" t="s">
        <v>387</v>
      </c>
      <c r="C9" s="158"/>
      <c r="D9" s="158">
        <v>85</v>
      </c>
      <c r="E9" s="158">
        <v>35</v>
      </c>
      <c r="F9" s="158">
        <v>35</v>
      </c>
      <c r="G9" s="158">
        <v>35</v>
      </c>
      <c r="H9" s="158">
        <v>5</v>
      </c>
      <c r="I9" s="158">
        <v>13</v>
      </c>
      <c r="J9" s="158">
        <v>10</v>
      </c>
      <c r="K9" s="158">
        <v>11</v>
      </c>
      <c r="L9" s="158">
        <v>14</v>
      </c>
      <c r="M9" s="158">
        <v>11</v>
      </c>
      <c r="N9" s="158">
        <v>16</v>
      </c>
      <c r="O9" s="158">
        <v>21</v>
      </c>
      <c r="P9" s="158">
        <v>11</v>
      </c>
      <c r="Q9" s="158">
        <v>13</v>
      </c>
      <c r="R9" s="158">
        <v>12</v>
      </c>
      <c r="S9" s="158">
        <v>9</v>
      </c>
      <c r="T9" s="158">
        <v>16</v>
      </c>
      <c r="U9" s="158">
        <v>13</v>
      </c>
      <c r="V9" s="158">
        <v>11</v>
      </c>
      <c r="W9" s="158">
        <v>13</v>
      </c>
      <c r="X9" s="1"/>
      <c r="Y9" s="1"/>
      <c r="Z9" s="1"/>
      <c r="AA9" s="1"/>
      <c r="AB9" s="1"/>
      <c r="AC9" s="1"/>
      <c r="AD9" s="1"/>
      <c r="AE9" s="1"/>
      <c r="AF9" s="1"/>
      <c r="AG9" s="1"/>
      <c r="AH9" s="1"/>
      <c r="AI9" s="1"/>
    </row>
    <row r="10" spans="1:35" x14ac:dyDescent="0.2">
      <c r="A10" s="2">
        <v>3</v>
      </c>
      <c r="B10" s="171" t="s">
        <v>388</v>
      </c>
      <c r="C10" s="158"/>
      <c r="D10" s="158">
        <v>105</v>
      </c>
      <c r="E10" s="158">
        <v>35</v>
      </c>
      <c r="F10" s="158">
        <v>35</v>
      </c>
      <c r="G10" s="158">
        <v>35</v>
      </c>
      <c r="H10" s="158">
        <v>10</v>
      </c>
      <c r="I10" s="158">
        <v>14</v>
      </c>
      <c r="J10" s="158">
        <v>11</v>
      </c>
      <c r="K10" s="158">
        <v>15</v>
      </c>
      <c r="L10" s="158">
        <v>13</v>
      </c>
      <c r="M10" s="158">
        <v>12</v>
      </c>
      <c r="N10" s="158">
        <v>10</v>
      </c>
      <c r="O10" s="158">
        <v>17</v>
      </c>
      <c r="P10" s="158">
        <v>9</v>
      </c>
      <c r="Q10" s="158">
        <v>13</v>
      </c>
      <c r="R10" s="158">
        <v>10</v>
      </c>
      <c r="S10" s="158">
        <v>11</v>
      </c>
      <c r="T10" s="158">
        <v>12</v>
      </c>
      <c r="U10" s="158">
        <v>12</v>
      </c>
      <c r="V10" s="158">
        <v>18</v>
      </c>
      <c r="W10" s="158">
        <v>18</v>
      </c>
      <c r="X10" s="1"/>
      <c r="Y10" s="1"/>
      <c r="Z10" s="1"/>
      <c r="AA10" s="1"/>
      <c r="AB10" s="1"/>
      <c r="AC10" s="1"/>
      <c r="AD10" s="1"/>
      <c r="AE10" s="1"/>
      <c r="AF10" s="1"/>
      <c r="AG10" s="1"/>
      <c r="AH10" s="1"/>
      <c r="AI10" s="1"/>
    </row>
    <row r="11" spans="1:35" x14ac:dyDescent="0.2">
      <c r="A11" s="2">
        <v>4</v>
      </c>
      <c r="B11" s="171" t="s">
        <v>389</v>
      </c>
      <c r="C11" s="158"/>
      <c r="D11" s="158">
        <v>80</v>
      </c>
      <c r="E11" s="158">
        <v>35</v>
      </c>
      <c r="F11" s="158">
        <v>80</v>
      </c>
      <c r="G11" s="158">
        <v>35</v>
      </c>
      <c r="H11" s="158">
        <v>9</v>
      </c>
      <c r="I11" s="158">
        <v>10</v>
      </c>
      <c r="J11" s="158">
        <v>13</v>
      </c>
      <c r="K11" s="158">
        <v>12</v>
      </c>
      <c r="L11" s="158">
        <v>15</v>
      </c>
      <c r="M11" s="158">
        <v>12</v>
      </c>
      <c r="N11" s="158">
        <v>14</v>
      </c>
      <c r="O11" s="158">
        <v>18</v>
      </c>
      <c r="P11" s="158">
        <v>14</v>
      </c>
      <c r="Q11" s="158">
        <v>16</v>
      </c>
      <c r="R11" s="158">
        <v>13</v>
      </c>
      <c r="S11" s="158">
        <v>11</v>
      </c>
      <c r="T11" s="158">
        <v>15</v>
      </c>
      <c r="U11" s="158">
        <v>8</v>
      </c>
      <c r="V11" s="158">
        <v>11</v>
      </c>
      <c r="W11" s="158">
        <v>15</v>
      </c>
      <c r="X11" s="1"/>
      <c r="Y11" s="1"/>
      <c r="Z11" s="1"/>
      <c r="AA11" s="1"/>
      <c r="AB11" s="1"/>
      <c r="AC11" s="1"/>
      <c r="AD11" s="1"/>
      <c r="AE11" s="1"/>
      <c r="AF11" s="1"/>
      <c r="AG11" s="1"/>
      <c r="AH11" s="1"/>
      <c r="AI11" s="1"/>
    </row>
    <row r="12" spans="1:35" x14ac:dyDescent="0.2">
      <c r="A12" s="2">
        <v>5</v>
      </c>
      <c r="B12" s="171" t="s">
        <v>390</v>
      </c>
      <c r="C12" s="158"/>
      <c r="D12" s="158">
        <v>123</v>
      </c>
      <c r="E12" s="158">
        <v>35</v>
      </c>
      <c r="F12" s="158">
        <v>35</v>
      </c>
      <c r="G12" s="158">
        <v>35</v>
      </c>
      <c r="H12" s="158">
        <v>8</v>
      </c>
      <c r="I12" s="158">
        <v>9</v>
      </c>
      <c r="J12" s="158">
        <v>11</v>
      </c>
      <c r="K12" s="158">
        <v>12</v>
      </c>
      <c r="L12" s="158">
        <v>11</v>
      </c>
      <c r="M12" s="158">
        <v>13</v>
      </c>
      <c r="N12" s="158">
        <v>18</v>
      </c>
      <c r="O12" s="158">
        <v>16</v>
      </c>
      <c r="P12" s="158">
        <v>18</v>
      </c>
      <c r="Q12" s="158">
        <v>13</v>
      </c>
      <c r="R12" s="158">
        <v>12</v>
      </c>
      <c r="S12" s="158">
        <v>15</v>
      </c>
      <c r="T12" s="158">
        <v>13</v>
      </c>
      <c r="U12" s="158">
        <v>12</v>
      </c>
      <c r="V12" s="158">
        <v>10</v>
      </c>
      <c r="W12" s="158">
        <v>12</v>
      </c>
      <c r="X12" s="1"/>
      <c r="Y12" s="1"/>
      <c r="Z12" s="1"/>
      <c r="AA12" s="1"/>
      <c r="AB12" s="1"/>
      <c r="AC12" s="1"/>
      <c r="AD12" s="1"/>
      <c r="AE12" s="1"/>
      <c r="AF12" s="1"/>
      <c r="AG12" s="1"/>
      <c r="AH12" s="1"/>
      <c r="AI12" s="1"/>
    </row>
    <row r="13" spans="1:35" x14ac:dyDescent="0.2">
      <c r="A13" s="2">
        <v>6</v>
      </c>
      <c r="B13" s="171" t="s">
        <v>391</v>
      </c>
      <c r="C13" s="158"/>
      <c r="D13" s="158">
        <v>80</v>
      </c>
      <c r="E13" s="158">
        <v>35</v>
      </c>
      <c r="F13" s="158">
        <v>80</v>
      </c>
      <c r="G13" s="158">
        <v>65</v>
      </c>
      <c r="H13" s="158">
        <v>5</v>
      </c>
      <c r="I13" s="158">
        <v>12</v>
      </c>
      <c r="J13" s="158">
        <v>12</v>
      </c>
      <c r="K13" s="158">
        <v>14</v>
      </c>
      <c r="L13" s="158">
        <v>15</v>
      </c>
      <c r="M13" s="158">
        <v>9</v>
      </c>
      <c r="N13" s="158">
        <v>13</v>
      </c>
      <c r="O13" s="158">
        <v>17</v>
      </c>
      <c r="P13" s="158">
        <v>8</v>
      </c>
      <c r="Q13" s="158">
        <v>14</v>
      </c>
      <c r="R13" s="158">
        <v>16</v>
      </c>
      <c r="S13" s="158">
        <v>12</v>
      </c>
      <c r="T13" s="158">
        <v>14</v>
      </c>
      <c r="U13" s="158">
        <v>13</v>
      </c>
      <c r="V13" s="158">
        <v>11</v>
      </c>
      <c r="W13" s="158">
        <v>13</v>
      </c>
      <c r="X13" s="1"/>
      <c r="Y13" s="1"/>
      <c r="Z13" s="1"/>
      <c r="AA13" s="1"/>
      <c r="AB13" s="1"/>
      <c r="AC13" s="1"/>
      <c r="AD13" s="1"/>
      <c r="AE13" s="1"/>
      <c r="AF13" s="1"/>
      <c r="AG13" s="1"/>
      <c r="AH13" s="1"/>
      <c r="AI13" s="1"/>
    </row>
    <row r="14" spans="1:35" x14ac:dyDescent="0.2">
      <c r="A14" s="2">
        <v>7</v>
      </c>
      <c r="B14" s="171" t="s">
        <v>392</v>
      </c>
      <c r="C14" s="158"/>
      <c r="D14" s="158">
        <v>119</v>
      </c>
      <c r="E14" s="158">
        <v>35</v>
      </c>
      <c r="F14" s="158">
        <v>35</v>
      </c>
      <c r="G14" s="158">
        <v>35</v>
      </c>
      <c r="H14" s="158">
        <v>9</v>
      </c>
      <c r="I14" s="158">
        <v>8</v>
      </c>
      <c r="J14" s="158">
        <v>8</v>
      </c>
      <c r="K14" s="158">
        <v>9</v>
      </c>
      <c r="L14" s="158">
        <v>12</v>
      </c>
      <c r="M14" s="158">
        <v>14</v>
      </c>
      <c r="N14" s="158">
        <v>11</v>
      </c>
      <c r="O14" s="158">
        <v>16</v>
      </c>
      <c r="P14" s="158">
        <v>22</v>
      </c>
      <c r="Q14" s="158">
        <v>10</v>
      </c>
      <c r="R14" s="158">
        <v>17</v>
      </c>
      <c r="S14" s="158">
        <v>14</v>
      </c>
      <c r="T14" s="158">
        <v>9</v>
      </c>
      <c r="U14" s="158">
        <v>14</v>
      </c>
      <c r="V14" s="158">
        <v>15</v>
      </c>
      <c r="W14" s="158">
        <v>12</v>
      </c>
      <c r="X14" s="1"/>
      <c r="Y14" s="1"/>
      <c r="Z14" s="1"/>
      <c r="AA14" s="1"/>
      <c r="AB14" s="1"/>
      <c r="AC14" s="1"/>
      <c r="AD14" s="1"/>
      <c r="AE14" s="1"/>
      <c r="AF14" s="1"/>
      <c r="AG14" s="1"/>
      <c r="AH14" s="1"/>
      <c r="AI14" s="1"/>
    </row>
    <row r="15" spans="1:35" x14ac:dyDescent="0.2">
      <c r="A15" s="2">
        <v>8</v>
      </c>
      <c r="B15" s="171" t="s">
        <v>393</v>
      </c>
      <c r="C15" s="158"/>
      <c r="D15" s="158">
        <v>80</v>
      </c>
      <c r="E15" s="158">
        <v>35</v>
      </c>
      <c r="F15" s="158">
        <v>80</v>
      </c>
      <c r="G15" s="158">
        <v>35</v>
      </c>
      <c r="H15" s="158">
        <v>8</v>
      </c>
      <c r="I15" s="158">
        <v>12</v>
      </c>
      <c r="J15" s="158">
        <v>8</v>
      </c>
      <c r="K15" s="158">
        <v>12</v>
      </c>
      <c r="L15" s="158">
        <v>10</v>
      </c>
      <c r="M15" s="158">
        <v>12</v>
      </c>
      <c r="N15" s="158">
        <v>14</v>
      </c>
      <c r="O15" s="158">
        <v>13</v>
      </c>
      <c r="P15" s="158">
        <v>17</v>
      </c>
      <c r="Q15" s="158">
        <v>11</v>
      </c>
      <c r="R15" s="158">
        <v>16</v>
      </c>
      <c r="S15" s="158">
        <v>9</v>
      </c>
      <c r="T15" s="158">
        <v>14</v>
      </c>
      <c r="U15" s="158">
        <v>17</v>
      </c>
      <c r="V15" s="158">
        <v>16</v>
      </c>
      <c r="W15" s="158">
        <v>12</v>
      </c>
      <c r="X15" s="1"/>
      <c r="Y15" s="1"/>
      <c r="Z15" s="1"/>
      <c r="AA15" s="1"/>
      <c r="AB15" s="1"/>
      <c r="AC15" s="1"/>
      <c r="AD15" s="1"/>
      <c r="AE15" s="1"/>
      <c r="AF15" s="1"/>
      <c r="AG15" s="1"/>
      <c r="AH15" s="1"/>
      <c r="AI15" s="1"/>
    </row>
    <row r="16" spans="1:35" x14ac:dyDescent="0.2">
      <c r="A16" s="2">
        <v>9</v>
      </c>
      <c r="B16" s="171" t="s">
        <v>394</v>
      </c>
      <c r="C16" s="158"/>
      <c r="D16" s="158">
        <v>125</v>
      </c>
      <c r="E16" s="158">
        <v>35</v>
      </c>
      <c r="F16" s="158">
        <v>80</v>
      </c>
      <c r="G16" s="158">
        <v>35</v>
      </c>
      <c r="H16" s="158">
        <v>10</v>
      </c>
      <c r="I16" s="158">
        <v>18</v>
      </c>
      <c r="J16" s="158">
        <v>7</v>
      </c>
      <c r="K16" s="158">
        <v>10</v>
      </c>
      <c r="L16" s="158">
        <v>7</v>
      </c>
      <c r="M16" s="158">
        <v>10</v>
      </c>
      <c r="N16" s="158">
        <v>13</v>
      </c>
      <c r="O16" s="158">
        <v>11</v>
      </c>
      <c r="P16" s="158">
        <v>15</v>
      </c>
      <c r="Q16" s="158">
        <v>6</v>
      </c>
      <c r="R16" s="158">
        <v>20</v>
      </c>
      <c r="S16" s="158">
        <v>22</v>
      </c>
      <c r="T16" s="158">
        <v>11</v>
      </c>
      <c r="U16" s="158">
        <v>23</v>
      </c>
      <c r="V16" s="158">
        <v>11</v>
      </c>
      <c r="W16" s="158">
        <v>7</v>
      </c>
      <c r="X16" s="1"/>
      <c r="Y16" s="1"/>
      <c r="Z16" s="1"/>
      <c r="AA16" s="1"/>
      <c r="AB16" s="1"/>
      <c r="AC16" s="1"/>
      <c r="AD16" s="1"/>
      <c r="AE16" s="1"/>
      <c r="AF16" s="1"/>
      <c r="AG16" s="1"/>
      <c r="AH16" s="1"/>
      <c r="AI16" s="1"/>
    </row>
    <row r="17" spans="1:35" x14ac:dyDescent="0.2">
      <c r="A17" s="2">
        <v>10</v>
      </c>
      <c r="B17" s="171" t="s">
        <v>395</v>
      </c>
      <c r="C17" s="158"/>
      <c r="D17" s="158">
        <v>125</v>
      </c>
      <c r="E17" s="158">
        <v>65</v>
      </c>
      <c r="F17" s="158">
        <v>80</v>
      </c>
      <c r="G17" s="158">
        <v>80</v>
      </c>
      <c r="H17" s="158">
        <v>6</v>
      </c>
      <c r="I17" s="158">
        <v>9</v>
      </c>
      <c r="J17" s="158">
        <v>13</v>
      </c>
      <c r="K17" s="158">
        <v>16</v>
      </c>
      <c r="L17" s="158">
        <v>9</v>
      </c>
      <c r="M17" s="158">
        <v>14</v>
      </c>
      <c r="N17" s="158">
        <v>13</v>
      </c>
      <c r="O17" s="158">
        <v>13</v>
      </c>
      <c r="P17" s="158">
        <v>13</v>
      </c>
      <c r="Q17" s="158">
        <v>16</v>
      </c>
      <c r="R17" s="158">
        <v>15</v>
      </c>
      <c r="S17" s="158">
        <v>15</v>
      </c>
      <c r="T17" s="158">
        <v>12</v>
      </c>
      <c r="U17" s="158">
        <v>15</v>
      </c>
      <c r="V17" s="158">
        <v>10</v>
      </c>
      <c r="W17" s="158">
        <v>13</v>
      </c>
      <c r="X17" s="1"/>
      <c r="Y17" s="1"/>
      <c r="Z17" s="1"/>
      <c r="AA17" s="1"/>
      <c r="AB17" s="1"/>
      <c r="AC17" s="1"/>
      <c r="AD17" s="1"/>
      <c r="AE17" s="1"/>
      <c r="AF17" s="1"/>
      <c r="AG17" s="1"/>
      <c r="AH17" s="1"/>
      <c r="AI17" s="1"/>
    </row>
    <row r="18" spans="1:35" x14ac:dyDescent="0.2">
      <c r="A18" s="2">
        <v>11</v>
      </c>
      <c r="B18" s="171" t="s">
        <v>396</v>
      </c>
      <c r="C18" s="158"/>
      <c r="D18" s="158">
        <v>130</v>
      </c>
      <c r="E18" s="158">
        <v>35</v>
      </c>
      <c r="F18" s="158">
        <v>80</v>
      </c>
      <c r="G18" s="158">
        <v>35</v>
      </c>
      <c r="H18" s="158">
        <v>8</v>
      </c>
      <c r="I18" s="158">
        <v>13</v>
      </c>
      <c r="J18" s="158">
        <v>11</v>
      </c>
      <c r="K18" s="158">
        <v>14</v>
      </c>
      <c r="L18" s="158">
        <v>9</v>
      </c>
      <c r="M18" s="158">
        <v>11</v>
      </c>
      <c r="N18" s="158">
        <v>18</v>
      </c>
      <c r="O18" s="158">
        <v>11</v>
      </c>
      <c r="P18" s="158">
        <v>19</v>
      </c>
      <c r="Q18" s="158">
        <v>12</v>
      </c>
      <c r="R18" s="158">
        <v>14</v>
      </c>
      <c r="S18" s="158">
        <v>12</v>
      </c>
      <c r="T18" s="158">
        <v>13</v>
      </c>
      <c r="U18" s="158">
        <v>13</v>
      </c>
      <c r="V18" s="158">
        <v>16</v>
      </c>
      <c r="W18" s="158">
        <v>8</v>
      </c>
      <c r="X18" s="1"/>
      <c r="Y18" s="1"/>
      <c r="Z18" s="1"/>
      <c r="AA18" s="1"/>
      <c r="AB18" s="1"/>
      <c r="AC18" s="1"/>
      <c r="AD18" s="1"/>
      <c r="AE18" s="1"/>
      <c r="AF18" s="1"/>
      <c r="AG18" s="1"/>
      <c r="AH18" s="1"/>
      <c r="AI18" s="1"/>
    </row>
    <row r="19" spans="1:35" x14ac:dyDescent="0.2">
      <c r="A19" s="2">
        <v>12</v>
      </c>
      <c r="B19" s="171" t="s">
        <v>397</v>
      </c>
      <c r="C19" s="158"/>
      <c r="D19" s="158">
        <v>90</v>
      </c>
      <c r="E19" s="158">
        <v>35</v>
      </c>
      <c r="F19" s="158">
        <v>80</v>
      </c>
      <c r="G19" s="158">
        <v>35</v>
      </c>
      <c r="H19" s="158">
        <v>9</v>
      </c>
      <c r="I19" s="158">
        <v>13</v>
      </c>
      <c r="J19" s="158">
        <v>9</v>
      </c>
      <c r="K19" s="158">
        <v>15</v>
      </c>
      <c r="L19" s="158">
        <v>13</v>
      </c>
      <c r="M19" s="158">
        <v>13</v>
      </c>
      <c r="N19" s="158">
        <v>16</v>
      </c>
      <c r="O19" s="158">
        <v>11</v>
      </c>
      <c r="P19" s="158">
        <v>12</v>
      </c>
      <c r="Q19" s="158">
        <v>17</v>
      </c>
      <c r="R19" s="158">
        <v>14</v>
      </c>
      <c r="S19" s="158">
        <v>13</v>
      </c>
      <c r="T19" s="158">
        <v>8</v>
      </c>
      <c r="U19" s="158">
        <v>17</v>
      </c>
      <c r="V19" s="158">
        <v>9</v>
      </c>
      <c r="W19" s="158">
        <v>16</v>
      </c>
      <c r="X19" s="1"/>
      <c r="Y19" s="1"/>
      <c r="Z19" s="1"/>
      <c r="AA19" s="1"/>
      <c r="AB19" s="1"/>
      <c r="AC19" s="1"/>
      <c r="AD19" s="1"/>
      <c r="AE19" s="1"/>
      <c r="AF19" s="1"/>
      <c r="AG19" s="1"/>
      <c r="AH19" s="1"/>
      <c r="AI19" s="1"/>
    </row>
    <row r="20" spans="1:35" x14ac:dyDescent="0.2">
      <c r="A20" s="2">
        <v>13</v>
      </c>
      <c r="B20" s="171" t="s">
        <v>398</v>
      </c>
      <c r="C20" s="158"/>
      <c r="D20" s="158">
        <v>109</v>
      </c>
      <c r="E20" s="158">
        <v>35</v>
      </c>
      <c r="F20" s="158">
        <v>80</v>
      </c>
      <c r="G20" s="158">
        <v>65</v>
      </c>
      <c r="H20" s="158">
        <v>12</v>
      </c>
      <c r="I20" s="158">
        <v>15</v>
      </c>
      <c r="J20" s="158">
        <v>8</v>
      </c>
      <c r="K20" s="158">
        <v>16</v>
      </c>
      <c r="L20" s="158">
        <v>5</v>
      </c>
      <c r="M20" s="158">
        <v>13</v>
      </c>
      <c r="N20" s="158">
        <v>11</v>
      </c>
      <c r="O20" s="158">
        <v>16</v>
      </c>
      <c r="P20" s="158">
        <v>5</v>
      </c>
      <c r="Q20" s="158">
        <v>20</v>
      </c>
      <c r="R20" s="158">
        <v>15</v>
      </c>
      <c r="S20" s="158">
        <v>12</v>
      </c>
      <c r="T20" s="158">
        <v>18</v>
      </c>
      <c r="U20" s="158">
        <v>23</v>
      </c>
      <c r="V20" s="158">
        <v>8</v>
      </c>
      <c r="W20" s="158">
        <v>4</v>
      </c>
      <c r="X20" s="1"/>
      <c r="Y20" s="1"/>
      <c r="Z20" s="1"/>
      <c r="AA20" s="1"/>
      <c r="AB20" s="1"/>
      <c r="AC20" s="1"/>
      <c r="AD20" s="1"/>
      <c r="AE20" s="1"/>
      <c r="AF20" s="1"/>
      <c r="AG20" s="1"/>
      <c r="AH20" s="1"/>
      <c r="AI20" s="1"/>
    </row>
    <row r="21" spans="1:35" x14ac:dyDescent="0.2">
      <c r="A21" s="2">
        <v>14</v>
      </c>
      <c r="B21" s="171" t="s">
        <v>399</v>
      </c>
      <c r="C21" s="158"/>
      <c r="D21" s="158">
        <v>80</v>
      </c>
      <c r="E21" s="158">
        <v>35</v>
      </c>
      <c r="F21" s="158">
        <v>80</v>
      </c>
      <c r="G21" s="158">
        <v>35</v>
      </c>
      <c r="H21" s="158">
        <v>7</v>
      </c>
      <c r="I21" s="158">
        <v>8</v>
      </c>
      <c r="J21" s="158">
        <v>12</v>
      </c>
      <c r="K21" s="158">
        <v>16</v>
      </c>
      <c r="L21" s="158">
        <v>17</v>
      </c>
      <c r="M21" s="158">
        <v>10</v>
      </c>
      <c r="N21" s="158">
        <v>6</v>
      </c>
      <c r="O21" s="158">
        <v>15</v>
      </c>
      <c r="P21" s="158">
        <v>15</v>
      </c>
      <c r="Q21" s="158">
        <v>16</v>
      </c>
      <c r="R21" s="158">
        <v>13</v>
      </c>
      <c r="S21" s="158">
        <v>12</v>
      </c>
      <c r="T21" s="158">
        <v>17</v>
      </c>
      <c r="U21" s="158">
        <v>14</v>
      </c>
      <c r="V21" s="158">
        <v>12</v>
      </c>
      <c r="W21" s="158">
        <v>13</v>
      </c>
      <c r="X21" s="1"/>
      <c r="Y21" s="1"/>
      <c r="Z21" s="1"/>
      <c r="AA21" s="1"/>
      <c r="AB21" s="1"/>
      <c r="AC21" s="1"/>
      <c r="AD21" s="1"/>
      <c r="AE21" s="1"/>
      <c r="AF21" s="1"/>
      <c r="AG21" s="1"/>
      <c r="AH21" s="1"/>
      <c r="AI21" s="1"/>
    </row>
    <row r="22" spans="1:35" x14ac:dyDescent="0.2">
      <c r="A22" s="2">
        <v>15</v>
      </c>
      <c r="B22" s="171" t="s">
        <v>400</v>
      </c>
      <c r="C22" s="158"/>
      <c r="D22" s="158">
        <v>90</v>
      </c>
      <c r="E22" s="158">
        <v>35</v>
      </c>
      <c r="F22" s="158">
        <v>35</v>
      </c>
      <c r="G22" s="158">
        <v>35</v>
      </c>
      <c r="H22" s="158">
        <v>11</v>
      </c>
      <c r="I22" s="158">
        <v>16</v>
      </c>
      <c r="J22" s="158">
        <v>10</v>
      </c>
      <c r="K22" s="158">
        <v>13</v>
      </c>
      <c r="L22" s="158">
        <v>9</v>
      </c>
      <c r="M22" s="158">
        <v>10</v>
      </c>
      <c r="N22" s="158">
        <v>12</v>
      </c>
      <c r="O22" s="158">
        <v>14</v>
      </c>
      <c r="P22" s="158">
        <v>19</v>
      </c>
      <c r="Q22" s="158">
        <v>14</v>
      </c>
      <c r="R22" s="158">
        <v>12</v>
      </c>
      <c r="S22" s="158">
        <v>18</v>
      </c>
      <c r="T22" s="158">
        <v>13</v>
      </c>
      <c r="U22" s="158">
        <v>20</v>
      </c>
      <c r="V22" s="158">
        <v>9</v>
      </c>
      <c r="W22" s="158">
        <v>5</v>
      </c>
      <c r="X22" s="1"/>
      <c r="Y22" s="1"/>
      <c r="Z22" s="1"/>
      <c r="AA22" s="1"/>
      <c r="AB22" s="1"/>
      <c r="AC22" s="1"/>
      <c r="AD22" s="1"/>
      <c r="AE22" s="1"/>
      <c r="AF22" s="1"/>
      <c r="AG22" s="1"/>
      <c r="AH22" s="1"/>
      <c r="AI22" s="1"/>
    </row>
    <row r="23" spans="1:35" x14ac:dyDescent="0.2">
      <c r="A23" s="2">
        <v>16</v>
      </c>
      <c r="B23" s="172" t="s">
        <v>401</v>
      </c>
      <c r="C23" s="158"/>
      <c r="D23" s="158"/>
      <c r="E23" s="158"/>
      <c r="F23" s="158"/>
      <c r="G23" s="158"/>
      <c r="H23" s="158"/>
      <c r="I23" s="158"/>
      <c r="J23" s="158"/>
      <c r="K23" s="158"/>
      <c r="L23" s="158"/>
      <c r="M23" s="158"/>
      <c r="N23" s="158"/>
      <c r="O23" s="158"/>
      <c r="P23" s="158"/>
      <c r="Q23" s="158"/>
      <c r="R23" s="158"/>
      <c r="S23" s="158"/>
      <c r="T23" s="158"/>
      <c r="U23" s="158"/>
      <c r="V23" s="158"/>
      <c r="W23" s="158"/>
      <c r="X23" s="1"/>
      <c r="Y23" s="1"/>
      <c r="Z23" s="1"/>
      <c r="AA23" s="1"/>
      <c r="AB23" s="1"/>
      <c r="AC23" s="1"/>
      <c r="AD23" s="1"/>
      <c r="AE23" s="1"/>
      <c r="AF23" s="1"/>
      <c r="AG23" s="1"/>
      <c r="AH23" s="1"/>
      <c r="AI23" s="1"/>
    </row>
    <row r="24" spans="1:35" x14ac:dyDescent="0.2">
      <c r="A24" s="2">
        <v>17</v>
      </c>
      <c r="B24" s="173" t="s">
        <v>402</v>
      </c>
      <c r="C24" s="158"/>
      <c r="D24" s="158">
        <v>115</v>
      </c>
      <c r="E24" s="158">
        <v>35</v>
      </c>
      <c r="F24" s="158">
        <v>35</v>
      </c>
      <c r="G24" s="158">
        <v>35</v>
      </c>
      <c r="H24" s="158">
        <v>10</v>
      </c>
      <c r="I24" s="158">
        <v>10</v>
      </c>
      <c r="J24" s="158">
        <v>16</v>
      </c>
      <c r="K24" s="158">
        <v>10</v>
      </c>
      <c r="L24" s="158">
        <v>10</v>
      </c>
      <c r="M24" s="158">
        <v>14</v>
      </c>
      <c r="N24" s="158">
        <v>16</v>
      </c>
      <c r="O24" s="158">
        <v>9</v>
      </c>
      <c r="P24" s="158">
        <v>12</v>
      </c>
      <c r="Q24" s="158">
        <v>15</v>
      </c>
      <c r="R24" s="158">
        <v>18</v>
      </c>
      <c r="S24" s="158">
        <v>9</v>
      </c>
      <c r="T24" s="158">
        <v>9</v>
      </c>
      <c r="U24" s="158">
        <v>17</v>
      </c>
      <c r="V24" s="158">
        <v>15</v>
      </c>
      <c r="W24" s="158">
        <v>13</v>
      </c>
      <c r="X24" s="1"/>
      <c r="Y24" s="1"/>
      <c r="Z24" s="1"/>
      <c r="AA24" s="1"/>
      <c r="AB24" s="1"/>
      <c r="AC24" s="1"/>
      <c r="AD24" s="1"/>
      <c r="AE24" s="1"/>
      <c r="AF24" s="1"/>
      <c r="AG24" s="1"/>
      <c r="AH24" s="1"/>
      <c r="AI24" s="1"/>
    </row>
    <row r="25" spans="1:35" x14ac:dyDescent="0.2">
      <c r="A25" s="2">
        <v>18</v>
      </c>
      <c r="B25" s="171" t="s">
        <v>403</v>
      </c>
      <c r="C25" s="158"/>
      <c r="D25" s="158">
        <v>80</v>
      </c>
      <c r="E25" s="158">
        <v>35</v>
      </c>
      <c r="F25" s="158">
        <v>35</v>
      </c>
      <c r="G25" s="158">
        <v>35</v>
      </c>
      <c r="H25" s="158">
        <v>11</v>
      </c>
      <c r="I25" s="158">
        <v>17</v>
      </c>
      <c r="J25" s="158">
        <v>9</v>
      </c>
      <c r="K25" s="158">
        <v>14</v>
      </c>
      <c r="L25" s="158">
        <v>16</v>
      </c>
      <c r="M25" s="158">
        <v>6</v>
      </c>
      <c r="N25" s="158">
        <v>14</v>
      </c>
      <c r="O25" s="158">
        <v>12</v>
      </c>
      <c r="P25" s="158">
        <v>20</v>
      </c>
      <c r="Q25" s="158">
        <v>10</v>
      </c>
      <c r="R25" s="158">
        <v>13</v>
      </c>
      <c r="S25" s="158">
        <v>16</v>
      </c>
      <c r="T25" s="158">
        <v>19</v>
      </c>
      <c r="U25" s="158">
        <v>17</v>
      </c>
      <c r="V25" s="158">
        <v>3</v>
      </c>
      <c r="W25" s="158">
        <v>9</v>
      </c>
      <c r="X25" s="1"/>
      <c r="Y25" s="1"/>
      <c r="Z25" s="1"/>
      <c r="AA25" s="1"/>
      <c r="AB25" s="1"/>
      <c r="AC25" s="1"/>
      <c r="AD25" s="1"/>
      <c r="AE25" s="1"/>
      <c r="AF25" s="1"/>
      <c r="AG25" s="1"/>
      <c r="AH25" s="1"/>
      <c r="AI25" s="1"/>
    </row>
    <row r="26" spans="1:35" x14ac:dyDescent="0.2">
      <c r="A26" s="2">
        <v>19</v>
      </c>
      <c r="B26" s="171" t="s">
        <v>404</v>
      </c>
      <c r="C26" s="158"/>
      <c r="D26" s="158">
        <v>109</v>
      </c>
      <c r="E26" s="158">
        <v>35</v>
      </c>
      <c r="F26" s="158">
        <v>35</v>
      </c>
      <c r="G26" s="158">
        <v>65</v>
      </c>
      <c r="H26" s="158">
        <v>12</v>
      </c>
      <c r="I26" s="158">
        <v>13</v>
      </c>
      <c r="J26" s="158">
        <v>7</v>
      </c>
      <c r="K26" s="158">
        <v>6</v>
      </c>
      <c r="L26" s="158">
        <v>14</v>
      </c>
      <c r="M26" s="158">
        <v>13</v>
      </c>
      <c r="N26" s="158">
        <v>15</v>
      </c>
      <c r="O26" s="158">
        <v>14</v>
      </c>
      <c r="P26" s="158">
        <v>13</v>
      </c>
      <c r="Q26" s="158">
        <v>10</v>
      </c>
      <c r="R26" s="158">
        <v>17</v>
      </c>
      <c r="S26" s="158">
        <v>22</v>
      </c>
      <c r="T26" s="158">
        <v>10</v>
      </c>
      <c r="U26" s="158">
        <v>15</v>
      </c>
      <c r="V26" s="158">
        <v>8</v>
      </c>
      <c r="W26" s="158">
        <v>16</v>
      </c>
      <c r="X26" s="1"/>
      <c r="Y26" s="1"/>
      <c r="Z26" s="1"/>
      <c r="AA26" s="1"/>
      <c r="AB26" s="1"/>
      <c r="AC26" s="1"/>
      <c r="AD26" s="1"/>
      <c r="AE26" s="1"/>
      <c r="AF26" s="1"/>
      <c r="AG26" s="1"/>
      <c r="AH26" s="1"/>
      <c r="AI26" s="1"/>
    </row>
    <row r="27" spans="1:35" x14ac:dyDescent="0.2">
      <c r="A27" s="2">
        <v>20</v>
      </c>
      <c r="B27" s="171" t="s">
        <v>405</v>
      </c>
      <c r="C27" s="158"/>
      <c r="D27" s="158">
        <v>89</v>
      </c>
      <c r="E27" s="158">
        <v>35</v>
      </c>
      <c r="F27" s="158">
        <v>80</v>
      </c>
      <c r="G27" s="158">
        <v>35</v>
      </c>
      <c r="H27" s="158">
        <v>11</v>
      </c>
      <c r="I27" s="158">
        <v>15</v>
      </c>
      <c r="J27" s="158">
        <v>10</v>
      </c>
      <c r="K27" s="158">
        <v>15</v>
      </c>
      <c r="L27" s="158">
        <v>14</v>
      </c>
      <c r="M27" s="158">
        <v>10</v>
      </c>
      <c r="N27" s="158">
        <v>13</v>
      </c>
      <c r="O27" s="158">
        <v>11</v>
      </c>
      <c r="P27" s="158">
        <v>15</v>
      </c>
      <c r="Q27" s="158">
        <v>11</v>
      </c>
      <c r="R27" s="158">
        <v>14</v>
      </c>
      <c r="S27" s="158">
        <v>14</v>
      </c>
      <c r="T27" s="158">
        <v>11</v>
      </c>
      <c r="U27" s="158">
        <v>13</v>
      </c>
      <c r="V27" s="158">
        <v>14</v>
      </c>
      <c r="W27" s="158">
        <v>15</v>
      </c>
      <c r="X27" s="1"/>
      <c r="Y27" s="1"/>
      <c r="Z27" s="1"/>
      <c r="AA27" s="1"/>
      <c r="AB27" s="1"/>
      <c r="AC27" s="1"/>
      <c r="AD27" s="1"/>
      <c r="AE27" s="1"/>
      <c r="AF27" s="1"/>
      <c r="AG27" s="1"/>
      <c r="AH27" s="1"/>
      <c r="AI27" s="1"/>
    </row>
    <row r="28" spans="1:35" x14ac:dyDescent="0.2">
      <c r="A28" s="2">
        <v>21</v>
      </c>
      <c r="B28" s="171" t="s">
        <v>406</v>
      </c>
      <c r="C28" s="158"/>
      <c r="D28" s="158">
        <v>110</v>
      </c>
      <c r="E28" s="158">
        <v>35</v>
      </c>
      <c r="F28" s="158">
        <v>80</v>
      </c>
      <c r="G28" s="158">
        <v>35</v>
      </c>
      <c r="H28" s="158">
        <v>11</v>
      </c>
      <c r="I28" s="158">
        <v>10</v>
      </c>
      <c r="J28" s="158">
        <v>10</v>
      </c>
      <c r="K28" s="158">
        <v>12</v>
      </c>
      <c r="L28" s="158">
        <v>10</v>
      </c>
      <c r="M28" s="158">
        <v>12</v>
      </c>
      <c r="N28" s="158">
        <v>17</v>
      </c>
      <c r="O28" s="158">
        <v>20</v>
      </c>
      <c r="P28" s="158">
        <v>17</v>
      </c>
      <c r="Q28" s="158">
        <v>14</v>
      </c>
      <c r="R28" s="158">
        <v>18</v>
      </c>
      <c r="S28" s="158">
        <v>15</v>
      </c>
      <c r="T28" s="158">
        <v>8</v>
      </c>
      <c r="U28" s="158">
        <v>16</v>
      </c>
      <c r="V28" s="158">
        <v>6</v>
      </c>
      <c r="W28" s="158">
        <v>11</v>
      </c>
      <c r="X28" s="1"/>
      <c r="Y28" s="1"/>
      <c r="Z28" s="1"/>
      <c r="AA28" s="1"/>
      <c r="AB28" s="1"/>
      <c r="AC28" s="1"/>
      <c r="AD28" s="1"/>
      <c r="AE28" s="1"/>
      <c r="AF28" s="1"/>
      <c r="AG28" s="1"/>
      <c r="AH28" s="1"/>
      <c r="AI28" s="1"/>
    </row>
    <row r="29" spans="1:35" x14ac:dyDescent="0.2">
      <c r="A29" s="2">
        <v>22</v>
      </c>
      <c r="B29" s="171" t="s">
        <v>407</v>
      </c>
      <c r="C29" s="158"/>
      <c r="D29" s="158">
        <v>119</v>
      </c>
      <c r="E29" s="158">
        <v>35</v>
      </c>
      <c r="F29" s="158">
        <v>35</v>
      </c>
      <c r="G29" s="158">
        <v>35</v>
      </c>
      <c r="H29" s="158">
        <v>10</v>
      </c>
      <c r="I29" s="158">
        <v>15</v>
      </c>
      <c r="J29" s="158">
        <v>10</v>
      </c>
      <c r="K29" s="158">
        <v>5</v>
      </c>
      <c r="L29" s="158">
        <v>13</v>
      </c>
      <c r="M29" s="158">
        <v>16</v>
      </c>
      <c r="N29" s="158">
        <v>11</v>
      </c>
      <c r="O29" s="158">
        <v>13</v>
      </c>
      <c r="P29" s="158">
        <v>22</v>
      </c>
      <c r="Q29" s="158">
        <v>10</v>
      </c>
      <c r="R29" s="158">
        <v>17</v>
      </c>
      <c r="S29" s="158">
        <v>14</v>
      </c>
      <c r="T29" s="158">
        <v>13</v>
      </c>
      <c r="U29" s="158">
        <v>14</v>
      </c>
      <c r="V29" s="158">
        <v>12</v>
      </c>
      <c r="W29" s="158">
        <v>10</v>
      </c>
      <c r="X29" s="1"/>
      <c r="Y29" s="1"/>
      <c r="Z29" s="1"/>
      <c r="AA29" s="1"/>
      <c r="AB29" s="1"/>
      <c r="AC29" s="1"/>
      <c r="AD29" s="1"/>
      <c r="AE29" s="1"/>
      <c r="AF29" s="1"/>
      <c r="AG29" s="1"/>
      <c r="AH29" s="1"/>
      <c r="AI29" s="1"/>
    </row>
    <row r="30" spans="1:35" x14ac:dyDescent="0.2">
      <c r="A30" s="2">
        <v>23</v>
      </c>
      <c r="B30" s="171" t="s">
        <v>408</v>
      </c>
      <c r="C30" s="158"/>
      <c r="D30" s="158">
        <v>130</v>
      </c>
      <c r="E30" s="158">
        <v>35</v>
      </c>
      <c r="F30" s="158">
        <v>65</v>
      </c>
      <c r="G30" s="158">
        <v>35</v>
      </c>
      <c r="H30" s="158">
        <v>10</v>
      </c>
      <c r="I30" s="158">
        <v>16</v>
      </c>
      <c r="J30" s="158">
        <v>11</v>
      </c>
      <c r="K30" s="158">
        <v>10</v>
      </c>
      <c r="L30" s="158">
        <v>15</v>
      </c>
      <c r="M30" s="158">
        <v>8</v>
      </c>
      <c r="N30" s="158">
        <v>13</v>
      </c>
      <c r="O30" s="158">
        <v>21</v>
      </c>
      <c r="P30" s="158">
        <v>18</v>
      </c>
      <c r="Q30" s="158">
        <v>11</v>
      </c>
      <c r="R30" s="158">
        <v>16</v>
      </c>
      <c r="S30" s="158">
        <v>12</v>
      </c>
      <c r="T30" s="158">
        <v>12</v>
      </c>
      <c r="U30" s="158">
        <v>12</v>
      </c>
      <c r="V30" s="158">
        <v>7</v>
      </c>
      <c r="W30" s="158">
        <v>13</v>
      </c>
      <c r="X30" s="1"/>
      <c r="Y30" s="1"/>
      <c r="Z30" s="1"/>
      <c r="AA30" s="1"/>
      <c r="AB30" s="1"/>
      <c r="AC30" s="1"/>
      <c r="AD30" s="1"/>
      <c r="AE30" s="1"/>
      <c r="AF30" s="1"/>
      <c r="AG30" s="1"/>
      <c r="AH30" s="1"/>
      <c r="AI30" s="1"/>
    </row>
    <row r="31" spans="1:35" x14ac:dyDescent="0.2">
      <c r="A31" s="2">
        <v>24</v>
      </c>
      <c r="B31" s="171" t="s">
        <v>409</v>
      </c>
      <c r="C31" s="158"/>
      <c r="D31" s="158">
        <v>85</v>
      </c>
      <c r="E31" s="158">
        <v>35</v>
      </c>
      <c r="F31" s="158">
        <v>35</v>
      </c>
      <c r="G31" s="158">
        <v>35</v>
      </c>
      <c r="H31" s="158">
        <v>10</v>
      </c>
      <c r="I31" s="158">
        <v>12</v>
      </c>
      <c r="J31" s="158">
        <v>4</v>
      </c>
      <c r="K31" s="158">
        <v>8</v>
      </c>
      <c r="L31" s="158">
        <v>12</v>
      </c>
      <c r="M31" s="158">
        <v>11</v>
      </c>
      <c r="N31" s="158">
        <v>15</v>
      </c>
      <c r="O31" s="158">
        <v>11</v>
      </c>
      <c r="P31" s="158">
        <v>22</v>
      </c>
      <c r="Q31" s="158">
        <v>10</v>
      </c>
      <c r="R31" s="158">
        <v>25</v>
      </c>
      <c r="S31" s="158">
        <v>19</v>
      </c>
      <c r="T31" s="158">
        <v>10</v>
      </c>
      <c r="U31" s="158">
        <v>14</v>
      </c>
      <c r="V31" s="158">
        <v>9</v>
      </c>
      <c r="W31" s="158">
        <v>14</v>
      </c>
      <c r="X31" s="1"/>
      <c r="Y31" s="1"/>
      <c r="Z31" s="1"/>
      <c r="AA31" s="1"/>
      <c r="AB31" s="1"/>
      <c r="AC31" s="1"/>
      <c r="AD31" s="1"/>
      <c r="AE31" s="1"/>
      <c r="AF31" s="1"/>
      <c r="AG31" s="1"/>
      <c r="AH31" s="1"/>
      <c r="AI31" s="1"/>
    </row>
    <row r="32" spans="1:35" x14ac:dyDescent="0.2">
      <c r="A32" s="2">
        <v>25</v>
      </c>
      <c r="B32" s="172" t="s">
        <v>410</v>
      </c>
      <c r="C32" s="158"/>
      <c r="D32" s="158"/>
      <c r="E32" s="158"/>
      <c r="F32" s="158"/>
      <c r="G32" s="158"/>
      <c r="H32" s="158"/>
      <c r="I32" s="158"/>
      <c r="J32" s="158"/>
      <c r="K32" s="158"/>
      <c r="L32" s="158"/>
      <c r="M32" s="158"/>
      <c r="N32" s="158"/>
      <c r="O32" s="158"/>
      <c r="P32" s="158"/>
      <c r="Q32" s="158"/>
      <c r="R32" s="158"/>
      <c r="S32" s="158"/>
      <c r="T32" s="158"/>
      <c r="U32" s="158"/>
      <c r="V32" s="158"/>
      <c r="W32" s="158"/>
      <c r="X32" s="1"/>
      <c r="Y32" s="1"/>
      <c r="Z32" s="1"/>
      <c r="AA32" s="1"/>
      <c r="AB32" s="1"/>
      <c r="AC32" s="1"/>
      <c r="AD32" s="1"/>
      <c r="AE32" s="1"/>
      <c r="AF32" s="1"/>
      <c r="AG32" s="1"/>
      <c r="AH32" s="1"/>
      <c r="AI32" s="1"/>
    </row>
    <row r="33" spans="1:35" x14ac:dyDescent="0.2">
      <c r="A33" s="2">
        <v>26</v>
      </c>
      <c r="B33" s="171" t="s">
        <v>411</v>
      </c>
      <c r="C33" s="158"/>
      <c r="D33" s="158">
        <v>85</v>
      </c>
      <c r="E33" s="158">
        <v>35</v>
      </c>
      <c r="F33" s="158">
        <v>80</v>
      </c>
      <c r="G33" s="158">
        <v>35</v>
      </c>
      <c r="H33" s="158">
        <v>7</v>
      </c>
      <c r="I33" s="158">
        <v>11</v>
      </c>
      <c r="J33" s="158">
        <v>12</v>
      </c>
      <c r="K33" s="158">
        <v>15</v>
      </c>
      <c r="L33" s="158">
        <v>13</v>
      </c>
      <c r="M33" s="158">
        <v>14</v>
      </c>
      <c r="N33" s="158">
        <v>9</v>
      </c>
      <c r="O33" s="158">
        <v>16</v>
      </c>
      <c r="P33" s="158">
        <v>13</v>
      </c>
      <c r="Q33" s="158">
        <v>16</v>
      </c>
      <c r="R33" s="158">
        <v>14</v>
      </c>
      <c r="S33" s="158">
        <v>10</v>
      </c>
      <c r="T33" s="158">
        <v>12</v>
      </c>
      <c r="U33" s="158">
        <v>14</v>
      </c>
      <c r="V33" s="158">
        <v>14</v>
      </c>
      <c r="W33" s="158">
        <v>13</v>
      </c>
      <c r="X33" s="1"/>
      <c r="Y33" s="1"/>
      <c r="Z33" s="1"/>
      <c r="AA33" s="1"/>
      <c r="AB33" s="1"/>
      <c r="AC33" s="1"/>
      <c r="AD33" s="1"/>
      <c r="AE33" s="1"/>
      <c r="AF33" s="1"/>
      <c r="AG33" s="1"/>
      <c r="AH33" s="1"/>
      <c r="AI33" s="1"/>
    </row>
    <row r="34" spans="1:35" x14ac:dyDescent="0.2">
      <c r="A34" s="2">
        <v>27</v>
      </c>
      <c r="B34" s="171" t="s">
        <v>412</v>
      </c>
      <c r="C34" s="158"/>
      <c r="D34" s="158">
        <v>80</v>
      </c>
      <c r="E34" s="158">
        <v>35</v>
      </c>
      <c r="F34" s="158">
        <v>35</v>
      </c>
      <c r="G34" s="158">
        <v>35</v>
      </c>
      <c r="H34" s="158">
        <v>7</v>
      </c>
      <c r="I34" s="158">
        <v>14</v>
      </c>
      <c r="J34" s="158">
        <v>11</v>
      </c>
      <c r="K34" s="158">
        <v>9</v>
      </c>
      <c r="L34" s="158">
        <v>13</v>
      </c>
      <c r="M34" s="158">
        <v>8</v>
      </c>
      <c r="N34" s="158">
        <v>13</v>
      </c>
      <c r="O34" s="158">
        <v>13</v>
      </c>
      <c r="P34" s="158">
        <v>16</v>
      </c>
      <c r="Q34" s="158">
        <v>15</v>
      </c>
      <c r="R34" s="158">
        <v>14</v>
      </c>
      <c r="S34" s="158">
        <v>15</v>
      </c>
      <c r="T34" s="158">
        <v>15</v>
      </c>
      <c r="U34" s="158">
        <v>16</v>
      </c>
      <c r="V34" s="158">
        <v>10</v>
      </c>
      <c r="W34" s="158">
        <v>13</v>
      </c>
      <c r="X34" s="1"/>
      <c r="Y34" s="1"/>
      <c r="Z34" s="1"/>
      <c r="AA34" s="1"/>
      <c r="AB34" s="1"/>
      <c r="AC34" s="1"/>
      <c r="AD34" s="1"/>
      <c r="AE34" s="1"/>
      <c r="AF34" s="1"/>
      <c r="AG34" s="1"/>
      <c r="AH34" s="1"/>
      <c r="AI34" s="1"/>
    </row>
    <row r="35" spans="1:35" x14ac:dyDescent="0.2">
      <c r="A35" s="2">
        <v>28</v>
      </c>
      <c r="B35" s="171" t="s">
        <v>413</v>
      </c>
      <c r="C35" s="158"/>
      <c r="D35" s="158">
        <v>109</v>
      </c>
      <c r="E35" s="158">
        <v>35</v>
      </c>
      <c r="F35" s="158">
        <v>80</v>
      </c>
      <c r="G35" s="158">
        <v>35</v>
      </c>
      <c r="H35" s="158">
        <v>9</v>
      </c>
      <c r="I35" s="158">
        <v>8</v>
      </c>
      <c r="J35" s="158">
        <v>8</v>
      </c>
      <c r="K35" s="158">
        <v>13</v>
      </c>
      <c r="L35" s="158">
        <v>11</v>
      </c>
      <c r="M35" s="158">
        <v>11</v>
      </c>
      <c r="N35" s="158">
        <v>12</v>
      </c>
      <c r="O35" s="158">
        <v>18</v>
      </c>
      <c r="P35" s="158">
        <v>13</v>
      </c>
      <c r="Q35" s="158">
        <v>17</v>
      </c>
      <c r="R35" s="158">
        <v>16</v>
      </c>
      <c r="S35" s="158">
        <v>10</v>
      </c>
      <c r="T35" s="158">
        <v>10</v>
      </c>
      <c r="U35" s="158">
        <v>15</v>
      </c>
      <c r="V35" s="158">
        <v>16</v>
      </c>
      <c r="W35" s="158">
        <v>16</v>
      </c>
      <c r="X35" s="1"/>
      <c r="Y35" s="1"/>
      <c r="Z35" s="1"/>
      <c r="AA35" s="1"/>
      <c r="AB35" s="1"/>
      <c r="AC35" s="1"/>
      <c r="AD35" s="1"/>
      <c r="AE35" s="1"/>
      <c r="AF35" s="1"/>
      <c r="AG35" s="1"/>
      <c r="AH35" s="1"/>
      <c r="AI35" s="1"/>
    </row>
    <row r="36" spans="1:35" x14ac:dyDescent="0.2">
      <c r="A36" s="2">
        <v>29</v>
      </c>
      <c r="B36" s="171" t="s">
        <v>414</v>
      </c>
      <c r="C36" s="158"/>
      <c r="D36" s="158">
        <v>105</v>
      </c>
      <c r="E36" s="158">
        <v>35</v>
      </c>
      <c r="F36" s="158">
        <v>80</v>
      </c>
      <c r="G36" s="158">
        <v>65</v>
      </c>
      <c r="H36" s="158">
        <v>6</v>
      </c>
      <c r="I36" s="158">
        <v>8</v>
      </c>
      <c r="J36" s="158">
        <v>11</v>
      </c>
      <c r="K36" s="158">
        <v>12</v>
      </c>
      <c r="L36" s="158">
        <v>11</v>
      </c>
      <c r="M36" s="158">
        <v>15</v>
      </c>
      <c r="N36" s="158">
        <v>12</v>
      </c>
      <c r="O36" s="158">
        <v>13</v>
      </c>
      <c r="P36" s="158">
        <v>14</v>
      </c>
      <c r="Q36" s="158">
        <v>15</v>
      </c>
      <c r="R36" s="158">
        <v>15</v>
      </c>
      <c r="S36" s="158">
        <v>7</v>
      </c>
      <c r="T36" s="158">
        <v>17</v>
      </c>
      <c r="U36" s="158">
        <v>13</v>
      </c>
      <c r="V36" s="158">
        <v>18</v>
      </c>
      <c r="W36" s="158">
        <v>14</v>
      </c>
      <c r="X36" s="1"/>
      <c r="Y36" s="1"/>
      <c r="Z36" s="1"/>
      <c r="AA36" s="1"/>
      <c r="AB36" s="1"/>
      <c r="AC36" s="1"/>
      <c r="AD36" s="1"/>
      <c r="AE36" s="1"/>
      <c r="AF36" s="1"/>
      <c r="AG36" s="1"/>
      <c r="AH36" s="1"/>
      <c r="AI36" s="1"/>
    </row>
    <row r="37" spans="1:35" x14ac:dyDescent="0.2">
      <c r="A37" s="2">
        <v>30</v>
      </c>
      <c r="B37" s="171" t="s">
        <v>415</v>
      </c>
      <c r="C37" s="158"/>
      <c r="D37" s="158">
        <v>80</v>
      </c>
      <c r="E37" s="158">
        <v>35</v>
      </c>
      <c r="F37" s="158">
        <v>80</v>
      </c>
      <c r="G37" s="158">
        <v>35</v>
      </c>
      <c r="H37" s="158">
        <v>9</v>
      </c>
      <c r="I37" s="158">
        <v>11</v>
      </c>
      <c r="J37" s="158">
        <v>12</v>
      </c>
      <c r="K37" s="158">
        <v>15</v>
      </c>
      <c r="L37" s="158">
        <v>12</v>
      </c>
      <c r="M37" s="158">
        <v>9</v>
      </c>
      <c r="N37" s="158">
        <v>16</v>
      </c>
      <c r="O37" s="158">
        <v>12</v>
      </c>
      <c r="P37" s="158">
        <v>13</v>
      </c>
      <c r="Q37" s="158">
        <v>10</v>
      </c>
      <c r="R37" s="158">
        <v>16</v>
      </c>
      <c r="S37" s="158">
        <v>9</v>
      </c>
      <c r="T37" s="158">
        <v>14</v>
      </c>
      <c r="U37" s="158">
        <v>17</v>
      </c>
      <c r="V37" s="158">
        <v>11</v>
      </c>
      <c r="W37" s="158">
        <v>16</v>
      </c>
      <c r="X37" s="1"/>
      <c r="Y37" s="1"/>
      <c r="Z37" s="1"/>
      <c r="AA37" s="1"/>
      <c r="AB37" s="1"/>
      <c r="AC37" s="1"/>
      <c r="AD37" s="1"/>
      <c r="AE37" s="1"/>
      <c r="AF37" s="1"/>
      <c r="AG37" s="1"/>
      <c r="AH37" s="1"/>
      <c r="AI37" s="1"/>
    </row>
    <row r="38" spans="1:35" x14ac:dyDescent="0.2">
      <c r="A38" s="2">
        <v>31</v>
      </c>
      <c r="B38" s="171" t="s">
        <v>416</v>
      </c>
      <c r="C38" s="158"/>
      <c r="D38" s="158">
        <v>80</v>
      </c>
      <c r="E38" s="158">
        <v>35</v>
      </c>
      <c r="F38" s="158">
        <v>35</v>
      </c>
      <c r="G38" s="158">
        <v>35</v>
      </c>
      <c r="H38" s="158">
        <v>5</v>
      </c>
      <c r="I38" s="158">
        <v>14</v>
      </c>
      <c r="J38" s="158">
        <v>10</v>
      </c>
      <c r="K38" s="158">
        <v>10</v>
      </c>
      <c r="L38" s="158">
        <v>15</v>
      </c>
      <c r="M38" s="158">
        <v>9</v>
      </c>
      <c r="N38" s="158">
        <v>15</v>
      </c>
      <c r="O38" s="158">
        <v>17</v>
      </c>
      <c r="P38" s="158">
        <v>13</v>
      </c>
      <c r="Q38" s="158">
        <v>14</v>
      </c>
      <c r="R38" s="158">
        <v>11</v>
      </c>
      <c r="S38" s="158">
        <v>8</v>
      </c>
      <c r="T38" s="158">
        <v>11</v>
      </c>
      <c r="U38" s="158">
        <v>17</v>
      </c>
      <c r="V38" s="158">
        <v>15</v>
      </c>
      <c r="W38" s="158">
        <v>13</v>
      </c>
      <c r="X38" s="1"/>
      <c r="Y38" s="1"/>
      <c r="Z38" s="1"/>
      <c r="AA38" s="1"/>
      <c r="AB38" s="1"/>
      <c r="AC38" s="1"/>
      <c r="AD38" s="1"/>
      <c r="AE38" s="1"/>
      <c r="AF38" s="1"/>
      <c r="AG38" s="1"/>
      <c r="AH38" s="1"/>
      <c r="AI38" s="1"/>
    </row>
    <row r="39" spans="1:35" x14ac:dyDescent="0.2">
      <c r="A39" s="2">
        <v>32</v>
      </c>
      <c r="B39" s="163" t="s">
        <v>381</v>
      </c>
      <c r="C39" s="158"/>
      <c r="D39" s="158">
        <v>80</v>
      </c>
      <c r="E39" s="158">
        <v>35</v>
      </c>
      <c r="F39" s="158">
        <v>35</v>
      </c>
      <c r="G39" s="158">
        <v>35</v>
      </c>
      <c r="H39" s="158">
        <v>9</v>
      </c>
      <c r="I39" s="158">
        <v>10</v>
      </c>
      <c r="J39" s="158">
        <v>8</v>
      </c>
      <c r="K39" s="158">
        <v>10</v>
      </c>
      <c r="L39" s="158">
        <v>15</v>
      </c>
      <c r="M39" s="158">
        <v>14</v>
      </c>
      <c r="N39" s="158">
        <v>14</v>
      </c>
      <c r="O39" s="158">
        <v>12</v>
      </c>
      <c r="P39" s="158">
        <v>14</v>
      </c>
      <c r="Q39" s="158">
        <v>11</v>
      </c>
      <c r="R39" s="158">
        <v>14</v>
      </c>
      <c r="S39" s="158">
        <v>19</v>
      </c>
      <c r="T39" s="158">
        <v>14</v>
      </c>
      <c r="U39" s="158">
        <v>9</v>
      </c>
      <c r="V39" s="158">
        <v>7</v>
      </c>
      <c r="W39" s="158">
        <v>18</v>
      </c>
      <c r="X39" s="1"/>
      <c r="Y39" s="1"/>
      <c r="Z39" s="1"/>
      <c r="AA39" s="1"/>
      <c r="AB39" s="1"/>
      <c r="AC39" s="1"/>
      <c r="AD39" s="1"/>
      <c r="AE39" s="1"/>
      <c r="AF39" s="1"/>
      <c r="AG39" s="1"/>
      <c r="AH39" s="1"/>
      <c r="AI39" s="1"/>
    </row>
    <row r="40" spans="1:35" x14ac:dyDescent="0.2">
      <c r="A40" s="2">
        <v>33</v>
      </c>
      <c r="B40" s="163" t="s">
        <v>382</v>
      </c>
      <c r="C40" s="158"/>
      <c r="D40" s="158">
        <v>80</v>
      </c>
      <c r="E40" s="158">
        <v>35</v>
      </c>
      <c r="F40" s="158">
        <v>80</v>
      </c>
      <c r="G40" s="158">
        <v>65</v>
      </c>
      <c r="H40" s="158">
        <v>11</v>
      </c>
      <c r="I40" s="158">
        <v>16</v>
      </c>
      <c r="J40" s="158">
        <v>16</v>
      </c>
      <c r="K40" s="158">
        <v>15</v>
      </c>
      <c r="L40" s="158">
        <v>8</v>
      </c>
      <c r="M40" s="158">
        <v>11</v>
      </c>
      <c r="N40" s="158">
        <v>10</v>
      </c>
      <c r="O40" s="158">
        <v>18</v>
      </c>
      <c r="P40" s="158">
        <v>7</v>
      </c>
      <c r="Q40" s="158">
        <v>11</v>
      </c>
      <c r="R40" s="158">
        <v>16</v>
      </c>
      <c r="S40" s="158">
        <v>17</v>
      </c>
      <c r="T40" s="158">
        <v>17</v>
      </c>
      <c r="U40" s="158">
        <v>19</v>
      </c>
      <c r="V40" s="158">
        <v>5</v>
      </c>
      <c r="W40" s="158">
        <v>8</v>
      </c>
      <c r="X40" s="1"/>
      <c r="Y40" s="1"/>
      <c r="Z40" s="1"/>
      <c r="AA40" s="1"/>
      <c r="AB40" s="1"/>
      <c r="AC40" s="1"/>
      <c r="AD40" s="1"/>
      <c r="AE40" s="1"/>
      <c r="AF40" s="1"/>
      <c r="AG40" s="1"/>
      <c r="AH40" s="1"/>
      <c r="AI40" s="1"/>
    </row>
    <row r="41" spans="1:35" x14ac:dyDescent="0.2">
      <c r="A41" s="2">
        <v>34</v>
      </c>
      <c r="B41" s="163" t="s">
        <v>383</v>
      </c>
      <c r="C41" s="158"/>
      <c r="D41" s="158">
        <v>80</v>
      </c>
      <c r="E41" s="158">
        <v>35</v>
      </c>
      <c r="F41" s="158">
        <v>80</v>
      </c>
      <c r="G41" s="158">
        <v>35</v>
      </c>
      <c r="H41" s="158">
        <v>13</v>
      </c>
      <c r="I41" s="158">
        <v>10</v>
      </c>
      <c r="J41" s="158">
        <v>10</v>
      </c>
      <c r="K41" s="158">
        <v>15</v>
      </c>
      <c r="L41" s="158">
        <v>10</v>
      </c>
      <c r="M41" s="158">
        <v>14</v>
      </c>
      <c r="N41" s="158">
        <v>10</v>
      </c>
      <c r="O41" s="158">
        <v>18</v>
      </c>
      <c r="P41" s="158">
        <v>10</v>
      </c>
      <c r="Q41" s="158">
        <v>11</v>
      </c>
      <c r="R41" s="158">
        <v>13</v>
      </c>
      <c r="S41" s="158">
        <v>16</v>
      </c>
      <c r="T41" s="158">
        <v>8</v>
      </c>
      <c r="U41" s="158">
        <v>19</v>
      </c>
      <c r="V41" s="158">
        <v>12</v>
      </c>
      <c r="W41" s="158">
        <v>19</v>
      </c>
      <c r="X41" s="1"/>
      <c r="Y41" s="1"/>
      <c r="Z41" s="1"/>
      <c r="AA41" s="1"/>
      <c r="AB41" s="1"/>
      <c r="AC41" s="1"/>
      <c r="AD41" s="1"/>
      <c r="AE41" s="1"/>
      <c r="AF41" s="1"/>
      <c r="AG41" s="1"/>
      <c r="AH41" s="1"/>
      <c r="AI41" s="1"/>
    </row>
    <row r="42" spans="1:35" x14ac:dyDescent="0.2">
      <c r="A42" s="2">
        <v>35</v>
      </c>
      <c r="B42" s="163" t="s">
        <v>384</v>
      </c>
      <c r="C42" s="158"/>
      <c r="D42" s="158">
        <v>80</v>
      </c>
      <c r="E42" s="158">
        <v>35</v>
      </c>
      <c r="F42" s="158">
        <v>80</v>
      </c>
      <c r="G42" s="158">
        <v>35</v>
      </c>
      <c r="H42" s="158">
        <v>13</v>
      </c>
      <c r="I42" s="158">
        <v>15</v>
      </c>
      <c r="J42" s="158">
        <v>14</v>
      </c>
      <c r="K42" s="158">
        <v>13</v>
      </c>
      <c r="L42" s="158">
        <v>9</v>
      </c>
      <c r="M42" s="158">
        <v>12</v>
      </c>
      <c r="N42" s="158">
        <v>15</v>
      </c>
      <c r="O42" s="158">
        <v>14</v>
      </c>
      <c r="P42" s="158">
        <v>14</v>
      </c>
      <c r="Q42" s="158">
        <v>15</v>
      </c>
      <c r="R42" s="158">
        <v>15</v>
      </c>
      <c r="S42" s="158">
        <v>16</v>
      </c>
      <c r="T42" s="158">
        <v>9</v>
      </c>
      <c r="U42" s="158">
        <v>16</v>
      </c>
      <c r="V42" s="158">
        <v>8</v>
      </c>
      <c r="W42" s="158">
        <v>11</v>
      </c>
      <c r="X42" s="1"/>
      <c r="Y42" s="1"/>
      <c r="Z42" s="1"/>
      <c r="AA42" s="1"/>
      <c r="AB42" s="1"/>
      <c r="AC42" s="1"/>
      <c r="AD42" s="1"/>
      <c r="AE42" s="1"/>
      <c r="AF42" s="1"/>
      <c r="AG42" s="1"/>
      <c r="AH42" s="1"/>
      <c r="AI42" s="1"/>
    </row>
    <row r="43" spans="1:35" x14ac:dyDescent="0.2">
      <c r="A43" s="2">
        <v>36</v>
      </c>
      <c r="B43" s="163" t="s">
        <v>385</v>
      </c>
      <c r="C43" s="158"/>
      <c r="D43" s="158">
        <v>80</v>
      </c>
      <c r="E43" s="158">
        <v>65</v>
      </c>
      <c r="F43" s="158">
        <v>80</v>
      </c>
      <c r="G43" s="158">
        <v>65</v>
      </c>
      <c r="H43" s="158">
        <v>13</v>
      </c>
      <c r="I43" s="158">
        <v>12</v>
      </c>
      <c r="J43" s="158">
        <v>9</v>
      </c>
      <c r="K43" s="158">
        <v>9</v>
      </c>
      <c r="L43" s="158">
        <v>12</v>
      </c>
      <c r="M43" s="158">
        <v>17</v>
      </c>
      <c r="N43" s="158">
        <v>10</v>
      </c>
      <c r="O43" s="158">
        <v>14</v>
      </c>
      <c r="P43" s="158">
        <v>9</v>
      </c>
      <c r="Q43" s="158">
        <v>15</v>
      </c>
      <c r="R43" s="158">
        <v>16</v>
      </c>
      <c r="S43" s="158">
        <v>21</v>
      </c>
      <c r="T43" s="158">
        <v>14</v>
      </c>
      <c r="U43" s="158">
        <v>16</v>
      </c>
      <c r="V43" s="158">
        <v>2</v>
      </c>
      <c r="W43" s="158">
        <v>19</v>
      </c>
      <c r="X43" s="1"/>
      <c r="Y43" s="1"/>
      <c r="Z43" s="1"/>
      <c r="AA43" s="1"/>
      <c r="AB43" s="1"/>
      <c r="AC43" s="1"/>
      <c r="AD43" s="1"/>
      <c r="AE43" s="1"/>
      <c r="AF43" s="1"/>
      <c r="AG43" s="1"/>
      <c r="AH43" s="1"/>
      <c r="AI43" s="1"/>
    </row>
    <row r="44" spans="1:35" x14ac:dyDescent="0.2">
      <c r="A44" s="2">
        <v>37</v>
      </c>
      <c r="B44" s="16"/>
      <c r="C44" s="17"/>
      <c r="D44" s="18">
        <v>90</v>
      </c>
      <c r="E44" s="1">
        <v>35</v>
      </c>
      <c r="F44" s="1">
        <v>80</v>
      </c>
      <c r="G44" s="1">
        <v>65</v>
      </c>
      <c r="H44" s="1">
        <v>12</v>
      </c>
      <c r="I44" s="1">
        <v>7</v>
      </c>
      <c r="J44" s="1">
        <v>12</v>
      </c>
      <c r="K44" s="1">
        <v>11</v>
      </c>
      <c r="L44" s="1">
        <v>16</v>
      </c>
      <c r="M44" s="1">
        <v>13</v>
      </c>
      <c r="N44" s="1">
        <v>9</v>
      </c>
      <c r="O44" s="1">
        <v>13</v>
      </c>
      <c r="P44" s="1">
        <v>9</v>
      </c>
      <c r="Q44" s="1">
        <v>15</v>
      </c>
      <c r="R44" s="1">
        <v>18</v>
      </c>
      <c r="S44" s="1">
        <v>17</v>
      </c>
      <c r="T44" s="1">
        <v>13</v>
      </c>
      <c r="U44" s="1">
        <v>13</v>
      </c>
      <c r="V44" s="1">
        <v>6</v>
      </c>
      <c r="W44" s="1">
        <v>20</v>
      </c>
      <c r="X44" s="1"/>
      <c r="Y44" s="1"/>
      <c r="Z44" s="1"/>
      <c r="AA44" s="1"/>
      <c r="AB44" s="1"/>
      <c r="AC44" s="1"/>
      <c r="AD44" s="1"/>
      <c r="AE44" s="1"/>
      <c r="AF44" s="1"/>
      <c r="AG44" s="1"/>
      <c r="AH44" s="1"/>
      <c r="AI44" s="1"/>
    </row>
    <row r="45" spans="1:35" x14ac:dyDescent="0.2">
      <c r="A45" s="2">
        <v>38</v>
      </c>
      <c r="B45" s="16"/>
      <c r="C45" s="17"/>
      <c r="D45" s="18">
        <v>90</v>
      </c>
      <c r="E45" s="1">
        <v>35</v>
      </c>
      <c r="F45" s="1">
        <v>80</v>
      </c>
      <c r="G45" s="1">
        <v>65</v>
      </c>
      <c r="H45" s="1">
        <v>12</v>
      </c>
      <c r="I45" s="1">
        <v>7</v>
      </c>
      <c r="J45" s="1">
        <v>12</v>
      </c>
      <c r="K45" s="1">
        <v>11</v>
      </c>
      <c r="L45" s="1">
        <v>16</v>
      </c>
      <c r="M45" s="1">
        <v>13</v>
      </c>
      <c r="N45" s="1">
        <v>9</v>
      </c>
      <c r="O45" s="1">
        <v>13</v>
      </c>
      <c r="P45" s="1">
        <v>9</v>
      </c>
      <c r="Q45" s="1">
        <v>15</v>
      </c>
      <c r="R45" s="1">
        <v>18</v>
      </c>
      <c r="S45" s="1">
        <v>17</v>
      </c>
      <c r="T45" s="1">
        <v>13</v>
      </c>
      <c r="U45" s="1">
        <v>13</v>
      </c>
      <c r="V45" s="1">
        <v>6</v>
      </c>
      <c r="W45" s="1">
        <v>20</v>
      </c>
      <c r="X45" s="1"/>
      <c r="Y45" s="1"/>
      <c r="Z45" s="1"/>
      <c r="AA45" s="1"/>
      <c r="AB45" s="1"/>
      <c r="AC45" s="1"/>
      <c r="AD45" s="1"/>
      <c r="AE45" s="1"/>
      <c r="AF45" s="1"/>
      <c r="AG45" s="1"/>
      <c r="AH45" s="1"/>
      <c r="AI45" s="1"/>
    </row>
    <row r="46" spans="1:35" x14ac:dyDescent="0.2">
      <c r="A46" s="2">
        <v>39</v>
      </c>
      <c r="B46" s="16"/>
      <c r="C46" s="17"/>
      <c r="D46" s="18">
        <v>90</v>
      </c>
      <c r="E46" s="1">
        <v>35</v>
      </c>
      <c r="F46" s="1">
        <v>80</v>
      </c>
      <c r="G46" s="1">
        <v>65</v>
      </c>
      <c r="H46" s="1">
        <v>12</v>
      </c>
      <c r="I46" s="1">
        <v>7</v>
      </c>
      <c r="J46" s="1">
        <v>12</v>
      </c>
      <c r="K46" s="1">
        <v>11</v>
      </c>
      <c r="L46" s="1">
        <v>16</v>
      </c>
      <c r="M46" s="1">
        <v>13</v>
      </c>
      <c r="N46" s="1">
        <v>9</v>
      </c>
      <c r="O46" s="1">
        <v>13</v>
      </c>
      <c r="P46" s="1">
        <v>9</v>
      </c>
      <c r="Q46" s="1">
        <v>15</v>
      </c>
      <c r="R46" s="1">
        <v>18</v>
      </c>
      <c r="S46" s="1">
        <v>17</v>
      </c>
      <c r="T46" s="1">
        <v>13</v>
      </c>
      <c r="U46" s="1">
        <v>13</v>
      </c>
      <c r="V46" s="1">
        <v>6</v>
      </c>
      <c r="W46" s="1">
        <v>20</v>
      </c>
      <c r="X46" s="1"/>
      <c r="Y46" s="1"/>
      <c r="Z46" s="1"/>
      <c r="AA46" s="1"/>
      <c r="AB46" s="1"/>
      <c r="AC46" s="1"/>
      <c r="AD46" s="1"/>
      <c r="AE46" s="1"/>
      <c r="AF46" s="1"/>
      <c r="AG46" s="1"/>
      <c r="AH46" s="1"/>
      <c r="AI46" s="1"/>
    </row>
    <row r="47" spans="1:35" x14ac:dyDescent="0.2">
      <c r="A47" s="2">
        <v>40</v>
      </c>
      <c r="B47" s="16"/>
      <c r="C47" s="17"/>
      <c r="D47" s="18">
        <v>90</v>
      </c>
      <c r="E47" s="1">
        <v>35</v>
      </c>
      <c r="F47" s="1">
        <v>80</v>
      </c>
      <c r="G47" s="1">
        <v>65</v>
      </c>
      <c r="H47" s="1">
        <v>12</v>
      </c>
      <c r="I47" s="1">
        <v>7</v>
      </c>
      <c r="J47" s="1">
        <v>12</v>
      </c>
      <c r="K47" s="1">
        <v>11</v>
      </c>
      <c r="L47" s="1">
        <v>16</v>
      </c>
      <c r="M47" s="1">
        <v>13</v>
      </c>
      <c r="N47" s="1">
        <v>9</v>
      </c>
      <c r="O47" s="1">
        <v>13</v>
      </c>
      <c r="P47" s="1">
        <v>9</v>
      </c>
      <c r="Q47" s="1">
        <v>15</v>
      </c>
      <c r="R47" s="1">
        <v>18</v>
      </c>
      <c r="S47" s="1">
        <v>17</v>
      </c>
      <c r="T47" s="1">
        <v>13</v>
      </c>
      <c r="U47" s="1">
        <v>13</v>
      </c>
      <c r="V47" s="1">
        <v>6</v>
      </c>
      <c r="W47" s="1">
        <v>20</v>
      </c>
      <c r="X47" s="1"/>
      <c r="Y47" s="1"/>
      <c r="Z47" s="1"/>
      <c r="AA47" s="1"/>
      <c r="AB47" s="1"/>
      <c r="AC47" s="1"/>
      <c r="AD47" s="1"/>
      <c r="AE47" s="1"/>
      <c r="AF47" s="1"/>
      <c r="AG47" s="1"/>
      <c r="AH47" s="1"/>
      <c r="AI47" s="1"/>
    </row>
    <row r="48" spans="1:35" x14ac:dyDescent="0.2">
      <c r="A48" s="2">
        <v>41</v>
      </c>
      <c r="B48" s="16"/>
      <c r="C48" s="17"/>
      <c r="D48" s="18">
        <v>90</v>
      </c>
      <c r="E48" s="1">
        <v>35</v>
      </c>
      <c r="F48" s="1">
        <v>80</v>
      </c>
      <c r="G48" s="1">
        <v>65</v>
      </c>
      <c r="H48" s="1">
        <v>12</v>
      </c>
      <c r="I48" s="1">
        <v>7</v>
      </c>
      <c r="J48" s="1">
        <v>12</v>
      </c>
      <c r="K48" s="1">
        <v>11</v>
      </c>
      <c r="L48" s="1">
        <v>16</v>
      </c>
      <c r="M48" s="1">
        <v>13</v>
      </c>
      <c r="N48" s="1">
        <v>9</v>
      </c>
      <c r="O48" s="1">
        <v>13</v>
      </c>
      <c r="P48" s="1">
        <v>9</v>
      </c>
      <c r="Q48" s="1">
        <v>15</v>
      </c>
      <c r="R48" s="1">
        <v>18</v>
      </c>
      <c r="S48" s="1">
        <v>17</v>
      </c>
      <c r="T48" s="1">
        <v>13</v>
      </c>
      <c r="U48" s="1">
        <v>13</v>
      </c>
      <c r="V48" s="1">
        <v>6</v>
      </c>
      <c r="W48" s="1">
        <v>20</v>
      </c>
      <c r="X48" s="1"/>
      <c r="Y48" s="1"/>
      <c r="Z48" s="1"/>
      <c r="AA48" s="1"/>
      <c r="AB48" s="1"/>
      <c r="AC48" s="1"/>
      <c r="AD48" s="1"/>
      <c r="AE48" s="1"/>
      <c r="AF48" s="1"/>
      <c r="AG48" s="1"/>
      <c r="AH48" s="1"/>
      <c r="AI48" s="1"/>
    </row>
    <row r="49" spans="1:35" x14ac:dyDescent="0.2">
      <c r="A49" s="2">
        <v>42</v>
      </c>
      <c r="B49" s="16"/>
      <c r="C49" s="17"/>
      <c r="D49" s="18">
        <v>90</v>
      </c>
      <c r="E49" s="1">
        <v>35</v>
      </c>
      <c r="F49" s="1">
        <v>80</v>
      </c>
      <c r="G49" s="1">
        <v>65</v>
      </c>
      <c r="H49" s="1">
        <v>12</v>
      </c>
      <c r="I49" s="1">
        <v>7</v>
      </c>
      <c r="J49" s="1">
        <v>12</v>
      </c>
      <c r="K49" s="1">
        <v>11</v>
      </c>
      <c r="L49" s="1">
        <v>16</v>
      </c>
      <c r="M49" s="1">
        <v>13</v>
      </c>
      <c r="N49" s="1">
        <v>9</v>
      </c>
      <c r="O49" s="1">
        <v>13</v>
      </c>
      <c r="P49" s="1">
        <v>9</v>
      </c>
      <c r="Q49" s="1">
        <v>15</v>
      </c>
      <c r="R49" s="1">
        <v>18</v>
      </c>
      <c r="S49" s="1">
        <v>17</v>
      </c>
      <c r="T49" s="1">
        <v>13</v>
      </c>
      <c r="U49" s="1">
        <v>13</v>
      </c>
      <c r="V49" s="1">
        <v>6</v>
      </c>
      <c r="W49" s="1">
        <v>20</v>
      </c>
      <c r="X49" s="1"/>
      <c r="Y49" s="1"/>
      <c r="Z49" s="1"/>
      <c r="AA49" s="1"/>
      <c r="AB49" s="1"/>
      <c r="AC49" s="1"/>
      <c r="AD49" s="1"/>
      <c r="AE49" s="1"/>
      <c r="AF49" s="1"/>
      <c r="AG49" s="1"/>
      <c r="AH49" s="1"/>
      <c r="AI49" s="1"/>
    </row>
    <row r="50" spans="1:35" x14ac:dyDescent="0.2">
      <c r="A50" s="77"/>
    </row>
    <row r="52" spans="1:35" x14ac:dyDescent="0.2">
      <c r="A52" s="4" t="s">
        <v>7</v>
      </c>
      <c r="B52" s="4"/>
    </row>
    <row r="53" spans="1:35" ht="15.75" x14ac:dyDescent="0.2">
      <c r="A53" s="3">
        <v>1</v>
      </c>
      <c r="B53" s="78" t="s">
        <v>8</v>
      </c>
      <c r="C53" s="79">
        <v>8</v>
      </c>
      <c r="D53" s="80" t="s">
        <v>25</v>
      </c>
      <c r="E53" s="78"/>
      <c r="F53" s="78"/>
      <c r="G53" s="78"/>
      <c r="H53" s="78"/>
      <c r="I53" s="78"/>
      <c r="J53" s="79">
        <v>15</v>
      </c>
      <c r="K53" s="80" t="s">
        <v>32</v>
      </c>
      <c r="L53" s="78"/>
      <c r="M53" s="78"/>
      <c r="N53" s="78"/>
      <c r="O53" s="78"/>
      <c r="P53" s="78"/>
      <c r="Q53" s="79">
        <v>22</v>
      </c>
      <c r="R53" s="78" t="s">
        <v>13</v>
      </c>
      <c r="S53" s="78"/>
      <c r="T53" s="78"/>
      <c r="U53" s="78"/>
      <c r="V53" s="78"/>
      <c r="W53" s="79">
        <v>29</v>
      </c>
      <c r="X53" s="78" t="s">
        <v>22</v>
      </c>
      <c r="Y53" s="78"/>
      <c r="Z53" s="78"/>
    </row>
    <row r="54" spans="1:35" ht="15.75" x14ac:dyDescent="0.2">
      <c r="A54" s="3">
        <v>2</v>
      </c>
      <c r="B54" s="78" t="s">
        <v>9</v>
      </c>
      <c r="C54" s="79">
        <v>9</v>
      </c>
      <c r="D54" s="80" t="s">
        <v>26</v>
      </c>
      <c r="E54" s="78"/>
      <c r="F54" s="78"/>
      <c r="G54" s="78"/>
      <c r="H54" s="78"/>
      <c r="I54" s="78"/>
      <c r="J54" s="79">
        <v>16</v>
      </c>
      <c r="K54" s="80" t="s">
        <v>33</v>
      </c>
      <c r="L54" s="78"/>
      <c r="M54" s="78"/>
      <c r="N54" s="78"/>
      <c r="O54" s="78"/>
      <c r="P54" s="78"/>
      <c r="Q54" s="79">
        <v>23</v>
      </c>
      <c r="R54" s="78" t="s">
        <v>15</v>
      </c>
      <c r="S54" s="78"/>
      <c r="T54" s="78"/>
      <c r="U54" s="78"/>
      <c r="V54" s="78"/>
      <c r="W54" s="79">
        <v>30</v>
      </c>
      <c r="X54" s="78"/>
      <c r="Y54" s="78"/>
      <c r="Z54" s="78"/>
    </row>
    <row r="55" spans="1:35" ht="15.75" x14ac:dyDescent="0.2">
      <c r="A55" s="3">
        <v>3</v>
      </c>
      <c r="B55" s="78" t="s">
        <v>10</v>
      </c>
      <c r="C55" s="79">
        <v>10</v>
      </c>
      <c r="D55" s="80" t="s">
        <v>27</v>
      </c>
      <c r="E55" s="78"/>
      <c r="F55" s="78"/>
      <c r="G55" s="78"/>
      <c r="H55" s="78"/>
      <c r="I55" s="78"/>
      <c r="J55" s="79">
        <v>17</v>
      </c>
      <c r="K55" s="80" t="s">
        <v>34</v>
      </c>
      <c r="L55" s="78"/>
      <c r="M55" s="78"/>
      <c r="N55" s="78"/>
      <c r="O55" s="78"/>
      <c r="P55" s="78"/>
      <c r="Q55" s="79">
        <v>24</v>
      </c>
      <c r="R55" s="78" t="s">
        <v>14</v>
      </c>
      <c r="S55" s="78"/>
      <c r="T55" s="78"/>
      <c r="U55" s="78"/>
      <c r="V55" s="78"/>
      <c r="W55" s="79">
        <v>31</v>
      </c>
      <c r="X55" s="78"/>
      <c r="Y55" s="78"/>
      <c r="Z55" s="78"/>
    </row>
    <row r="56" spans="1:35" ht="15.75" x14ac:dyDescent="0.2">
      <c r="A56" s="3">
        <v>4</v>
      </c>
      <c r="B56" s="78" t="s">
        <v>11</v>
      </c>
      <c r="C56" s="79">
        <v>11</v>
      </c>
      <c r="D56" s="80" t="s">
        <v>28</v>
      </c>
      <c r="E56" s="78"/>
      <c r="F56" s="78"/>
      <c r="G56" s="78"/>
      <c r="H56" s="78"/>
      <c r="I56" s="78"/>
      <c r="J56" s="79">
        <v>18</v>
      </c>
      <c r="K56" s="80" t="s">
        <v>35</v>
      </c>
      <c r="L56" s="78"/>
      <c r="M56" s="78"/>
      <c r="N56" s="78"/>
      <c r="O56" s="78"/>
      <c r="P56" s="78"/>
      <c r="Q56" s="79">
        <v>25</v>
      </c>
      <c r="R56" s="78" t="s">
        <v>19</v>
      </c>
      <c r="S56" s="78"/>
      <c r="T56" s="78"/>
      <c r="U56" s="78"/>
      <c r="V56" s="78"/>
      <c r="W56" s="79">
        <v>32</v>
      </c>
      <c r="X56" s="78"/>
      <c r="Y56" s="78"/>
      <c r="Z56" s="78"/>
    </row>
    <row r="57" spans="1:35" ht="15.75" x14ac:dyDescent="0.2">
      <c r="A57" s="3">
        <v>5</v>
      </c>
      <c r="B57" s="78" t="s">
        <v>17</v>
      </c>
      <c r="C57" s="79">
        <v>12</v>
      </c>
      <c r="D57" s="80" t="s">
        <v>29</v>
      </c>
      <c r="E57" s="78"/>
      <c r="F57" s="78"/>
      <c r="G57" s="78"/>
      <c r="H57" s="78"/>
      <c r="I57" s="78"/>
      <c r="J57" s="79">
        <v>19</v>
      </c>
      <c r="K57" s="80" t="s">
        <v>36</v>
      </c>
      <c r="L57" s="78"/>
      <c r="M57" s="78"/>
      <c r="N57" s="78"/>
      <c r="O57" s="78"/>
      <c r="P57" s="78"/>
      <c r="Q57" s="79">
        <v>26</v>
      </c>
      <c r="R57" s="78" t="s">
        <v>20</v>
      </c>
      <c r="S57" s="78"/>
      <c r="T57" s="78"/>
      <c r="U57" s="78"/>
      <c r="V57" s="78"/>
      <c r="W57" s="78"/>
      <c r="X57" s="78"/>
      <c r="Y57" s="80"/>
      <c r="Z57" s="78"/>
    </row>
    <row r="58" spans="1:35" ht="15.75" x14ac:dyDescent="0.2">
      <c r="A58" s="3">
        <v>6</v>
      </c>
      <c r="B58" s="80" t="s">
        <v>23</v>
      </c>
      <c r="C58" s="79">
        <v>13</v>
      </c>
      <c r="D58" s="80" t="s">
        <v>30</v>
      </c>
      <c r="E58" s="78"/>
      <c r="F58" s="78"/>
      <c r="G58" s="78"/>
      <c r="H58" s="78"/>
      <c r="I58" s="78"/>
      <c r="J58" s="79">
        <v>20</v>
      </c>
      <c r="K58" s="80" t="s">
        <v>37</v>
      </c>
      <c r="L58" s="78"/>
      <c r="M58" s="78"/>
      <c r="N58" s="78"/>
      <c r="O58" s="78"/>
      <c r="P58" s="78"/>
      <c r="Q58" s="79">
        <v>27</v>
      </c>
      <c r="R58" s="78" t="s">
        <v>16</v>
      </c>
      <c r="S58" s="78"/>
      <c r="T58" s="78"/>
      <c r="U58" s="78"/>
      <c r="V58" s="78"/>
      <c r="W58" s="78"/>
      <c r="X58" s="78"/>
      <c r="Y58" s="80"/>
      <c r="Z58" s="78"/>
    </row>
    <row r="59" spans="1:35" ht="15.75" x14ac:dyDescent="0.2">
      <c r="A59" s="3">
        <v>7</v>
      </c>
      <c r="B59" s="80" t="s">
        <v>24</v>
      </c>
      <c r="C59" s="79">
        <v>14</v>
      </c>
      <c r="D59" s="80" t="s">
        <v>31</v>
      </c>
      <c r="E59" s="78"/>
      <c r="F59" s="78"/>
      <c r="G59" s="78"/>
      <c r="H59" s="78"/>
      <c r="I59" s="78"/>
      <c r="J59" s="79">
        <v>21</v>
      </c>
      <c r="K59" s="78" t="s">
        <v>12</v>
      </c>
      <c r="L59" s="78"/>
      <c r="M59" s="78"/>
      <c r="N59" s="78"/>
      <c r="O59" s="78"/>
      <c r="P59" s="78"/>
      <c r="Q59" s="79">
        <v>28</v>
      </c>
      <c r="R59" s="78" t="s">
        <v>21</v>
      </c>
      <c r="S59" s="78"/>
      <c r="T59" s="78"/>
      <c r="U59" s="78"/>
      <c r="V59" s="78"/>
      <c r="W59" s="78"/>
      <c r="X59" s="78"/>
      <c r="Y59" s="80"/>
      <c r="Z59" s="78"/>
    </row>
    <row r="60" spans="1:35" ht="15.75" x14ac:dyDescent="0.2">
      <c r="Y60" s="80"/>
      <c r="Z60" s="78"/>
    </row>
    <row r="61" spans="1:35" ht="15.75" x14ac:dyDescent="0.2">
      <c r="Y61" s="80"/>
      <c r="Z61" s="78"/>
    </row>
    <row r="62" spans="1:35" ht="16.5" thickBot="1" x14ac:dyDescent="0.25">
      <c r="A62" s="6" t="s">
        <v>38</v>
      </c>
      <c r="B62" s="6"/>
      <c r="D62" s="6" t="s">
        <v>58</v>
      </c>
      <c r="E62" s="6"/>
      <c r="F62" s="6"/>
      <c r="G62" s="6"/>
      <c r="H62" s="6"/>
      <c r="Y62" s="80"/>
      <c r="Z62" s="78"/>
    </row>
    <row r="63" spans="1:35" ht="17.25" thickTop="1" thickBot="1" x14ac:dyDescent="0.25">
      <c r="A63" s="7" t="s">
        <v>2</v>
      </c>
      <c r="B63" s="8" t="s">
        <v>39</v>
      </c>
      <c r="D63" s="27" t="s">
        <v>59</v>
      </c>
      <c r="E63" s="28"/>
      <c r="F63" s="31" t="s">
        <v>39</v>
      </c>
      <c r="G63" s="32"/>
      <c r="H63" s="33"/>
      <c r="Y63" s="80"/>
      <c r="Z63" s="78"/>
    </row>
    <row r="64" spans="1:35" ht="17.25" thickTop="1" thickBot="1" x14ac:dyDescent="0.25">
      <c r="A64" s="9" t="s">
        <v>40</v>
      </c>
      <c r="B64" s="10" t="s">
        <v>41</v>
      </c>
      <c r="D64" s="29" t="s">
        <v>60</v>
      </c>
      <c r="E64" s="30"/>
      <c r="F64" s="34"/>
      <c r="G64" s="34"/>
      <c r="H64" s="35"/>
      <c r="Y64" s="80"/>
      <c r="Z64" s="78"/>
    </row>
    <row r="65" spans="1:30" ht="16.5" thickTop="1" x14ac:dyDescent="0.2">
      <c r="A65" s="9" t="s">
        <v>42</v>
      </c>
      <c r="B65" s="10" t="s">
        <v>43</v>
      </c>
      <c r="D65" s="21" t="s">
        <v>61</v>
      </c>
      <c r="E65" s="22"/>
      <c r="F65" s="6" t="s">
        <v>62</v>
      </c>
      <c r="G65" s="6"/>
      <c r="H65" s="15"/>
      <c r="Y65" s="80"/>
      <c r="Z65" s="78"/>
      <c r="AD65" t="s">
        <v>67</v>
      </c>
    </row>
    <row r="66" spans="1:30" ht="15.75" x14ac:dyDescent="0.2">
      <c r="A66" s="9" t="s">
        <v>44</v>
      </c>
      <c r="B66" s="10" t="s">
        <v>45</v>
      </c>
      <c r="D66" s="23" t="s">
        <v>63</v>
      </c>
      <c r="E66" s="24"/>
      <c r="F66" s="6" t="s">
        <v>64</v>
      </c>
      <c r="G66" s="6"/>
      <c r="H66" s="15"/>
      <c r="Y66" s="80"/>
      <c r="AD66" t="s">
        <v>68</v>
      </c>
    </row>
    <row r="67" spans="1:30" ht="16.5" thickBot="1" x14ac:dyDescent="0.25">
      <c r="A67" s="9" t="s">
        <v>46</v>
      </c>
      <c r="B67" s="10" t="s">
        <v>47</v>
      </c>
      <c r="D67" s="25" t="s">
        <v>65</v>
      </c>
      <c r="E67" s="26"/>
      <c r="F67" s="13" t="s">
        <v>66</v>
      </c>
      <c r="G67" s="13"/>
      <c r="H67" s="14"/>
      <c r="Y67" s="80"/>
    </row>
    <row r="68" spans="1:30" ht="16.5" thickTop="1" x14ac:dyDescent="0.2">
      <c r="A68" s="9" t="s">
        <v>48</v>
      </c>
      <c r="B68" s="10" t="s">
        <v>49</v>
      </c>
      <c r="Y68" s="80"/>
    </row>
    <row r="69" spans="1:30" ht="15.75" x14ac:dyDescent="0.2">
      <c r="A69" s="9" t="s">
        <v>50</v>
      </c>
      <c r="B69" s="10" t="s">
        <v>51</v>
      </c>
      <c r="Y69" s="80"/>
      <c r="AD69" t="s">
        <v>69</v>
      </c>
    </row>
    <row r="70" spans="1:30" ht="15.75" x14ac:dyDescent="0.2">
      <c r="A70" s="9" t="s">
        <v>52</v>
      </c>
      <c r="B70" s="10" t="s">
        <v>53</v>
      </c>
      <c r="Y70" s="80"/>
    </row>
    <row r="71" spans="1:30" ht="15.75" x14ac:dyDescent="0.2">
      <c r="A71" s="9" t="s">
        <v>54</v>
      </c>
      <c r="B71" s="10" t="s">
        <v>55</v>
      </c>
      <c r="Y71" s="80"/>
    </row>
    <row r="72" spans="1:30" ht="15.75" thickBot="1" x14ac:dyDescent="0.25">
      <c r="A72" s="11" t="s">
        <v>56</v>
      </c>
      <c r="B72" s="12" t="s">
        <v>57</v>
      </c>
    </row>
    <row r="73" spans="1:30" ht="15.75" thickTop="1" x14ac:dyDescent="0.2"/>
  </sheetData>
  <mergeCells count="6">
    <mergeCell ref="X6:AI6"/>
    <mergeCell ref="A6:A7"/>
    <mergeCell ref="B6:B7"/>
    <mergeCell ref="C6:C7"/>
    <mergeCell ref="H6:W6"/>
    <mergeCell ref="D6:D7"/>
  </mergeCells>
  <conditionalFormatting sqref="B8:B10">
    <cfRule type="top10" priority="976" stopIfTrue="1" rank="10"/>
  </conditionalFormatting>
  <conditionalFormatting sqref="B8:B12">
    <cfRule type="top10" priority="984" stopIfTrue="1" rank="10"/>
  </conditionalFormatting>
  <conditionalFormatting sqref="B13:B14">
    <cfRule type="top10" priority="975" stopIfTrue="1" rank="10"/>
  </conditionalFormatting>
  <conditionalFormatting sqref="B20:B31">
    <cfRule type="top10" priority="977" stopIfTrue="1" rank="10"/>
  </conditionalFormatting>
  <conditionalFormatting sqref="B21:B32">
    <cfRule type="top10" priority="980" stopIfTrue="1" rank="10"/>
  </conditionalFormatting>
  <conditionalFormatting sqref="B23:B34">
    <cfRule type="top10" priority="983" stopIfTrue="1" rank="10"/>
  </conditionalFormatting>
  <conditionalFormatting sqref="B32:B34 B11:B19">
    <cfRule type="top10" priority="979" stopIfTrue="1" rank="10"/>
  </conditionalFormatting>
  <conditionalFormatting sqref="B33:B35 B11:B20">
    <cfRule type="top10" priority="982" stopIfTrue="1" rank="10"/>
  </conditionalFormatting>
  <conditionalFormatting sqref="B35:B37 B13:B22">
    <cfRule type="top10" priority="985" stopIfTrue="1" rank="10"/>
  </conditionalFormatting>
  <conditionalFormatting sqref="B35:B38">
    <cfRule type="top10" priority="978" stopIfTrue="1" rank="10"/>
  </conditionalFormatting>
  <conditionalFormatting sqref="B36:B38">
    <cfRule type="top10" priority="981" stopIfTrue="1" rank="10"/>
  </conditionalFormatting>
  <conditionalFormatting sqref="B38">
    <cfRule type="top10" priority="974" stopIfTrue="1" rank="10"/>
  </conditionalFormatting>
  <conditionalFormatting sqref="B39">
    <cfRule type="top10" priority="989" stopIfTrue="1" rank="10"/>
  </conditionalFormatting>
  <conditionalFormatting sqref="C8:C10">
    <cfRule type="top10" priority="951" stopIfTrue="1" rank="10"/>
  </conditionalFormatting>
  <conditionalFormatting sqref="C8:C12">
    <cfRule type="top10" priority="965" stopIfTrue="1" rank="10"/>
  </conditionalFormatting>
  <conditionalFormatting sqref="C13:C14">
    <cfRule type="top10" priority="949" stopIfTrue="1" rank="10"/>
  </conditionalFormatting>
  <conditionalFormatting sqref="C20:C31">
    <cfRule type="top10" priority="955" stopIfTrue="1" rank="10"/>
  </conditionalFormatting>
  <conditionalFormatting sqref="C21:C32">
    <cfRule type="top10" priority="961" stopIfTrue="1" rank="10"/>
  </conditionalFormatting>
  <conditionalFormatting sqref="C23:C34">
    <cfRule type="top10" priority="964" stopIfTrue="1" rank="10"/>
  </conditionalFormatting>
  <conditionalFormatting sqref="C32:C34 C11:C19">
    <cfRule type="top10" priority="957" stopIfTrue="1" rank="10"/>
  </conditionalFormatting>
  <conditionalFormatting sqref="C33:C35 C11:C20">
    <cfRule type="top10" priority="963" stopIfTrue="1" rank="10"/>
  </conditionalFormatting>
  <conditionalFormatting sqref="C35:C37 C13:C22">
    <cfRule type="top10" priority="966" stopIfTrue="1" rank="10"/>
  </conditionalFormatting>
  <conditionalFormatting sqref="C35:C38">
    <cfRule type="top10" priority="956" stopIfTrue="1" rank="10"/>
  </conditionalFormatting>
  <conditionalFormatting sqref="C36:C38">
    <cfRule type="top10" priority="962" stopIfTrue="1" rank="10"/>
  </conditionalFormatting>
  <conditionalFormatting sqref="C39:H39">
    <cfRule type="top10" priority="972" stopIfTrue="1" rank="10"/>
  </conditionalFormatting>
  <conditionalFormatting sqref="C38:I38">
    <cfRule type="top10" priority="948" stopIfTrue="1" rank="10"/>
  </conditionalFormatting>
  <conditionalFormatting sqref="D6 D8:D13">
    <cfRule type="top10" priority="508" stopIfTrue="1" rank="10"/>
    <cfRule type="top10" priority="505" stopIfTrue="1" rank="10"/>
    <cfRule type="top10" priority="506" stopIfTrue="1" rank="10"/>
    <cfRule type="top10" priority="507" stopIfTrue="1" rank="10"/>
  </conditionalFormatting>
  <conditionalFormatting sqref="D8:D10">
    <cfRule type="top10" priority="495" stopIfTrue="1" rank="10"/>
    <cfRule type="top10" priority="327" stopIfTrue="1" rank="10"/>
  </conditionalFormatting>
  <conditionalFormatting sqref="D8:D12">
    <cfRule type="top10" priority="503" stopIfTrue="1" rank="10"/>
    <cfRule type="top10" priority="335" stopIfTrue="1" rank="10"/>
  </conditionalFormatting>
  <conditionalFormatting sqref="D13:D14">
    <cfRule type="top10" priority="494" stopIfTrue="1" rank="10"/>
    <cfRule type="top10" priority="326" stopIfTrue="1" rank="10"/>
  </conditionalFormatting>
  <conditionalFormatting sqref="D20:D31">
    <cfRule type="top10" priority="496" stopIfTrue="1" rank="10"/>
    <cfRule type="top10" priority="632" stopIfTrue="1" rank="10"/>
    <cfRule type="top10" priority="665" stopIfTrue="1" rank="10"/>
    <cfRule type="top10" priority="654" stopIfTrue="1" rank="10"/>
    <cfRule type="top10" priority="588" stopIfTrue="1" rank="10"/>
    <cfRule type="top10" priority="328" stopIfTrue="1" rank="10"/>
  </conditionalFormatting>
  <conditionalFormatting sqref="D21:D32">
    <cfRule type="top10" priority="635" stopIfTrue="1" rank="10"/>
    <cfRule type="top10" priority="657" stopIfTrue="1" rank="10"/>
    <cfRule type="top10" priority="668" stopIfTrue="1" rank="10"/>
    <cfRule type="top10" priority="591" stopIfTrue="1" rank="10"/>
    <cfRule type="top10" priority="499" stopIfTrue="1" rank="10"/>
    <cfRule type="top10" priority="331" stopIfTrue="1" rank="10"/>
  </conditionalFormatting>
  <conditionalFormatting sqref="D23:D34">
    <cfRule type="top10" priority="334" stopIfTrue="1" rank="10"/>
    <cfRule type="top10" priority="660" stopIfTrue="1" rank="10"/>
    <cfRule type="top10" priority="671" stopIfTrue="1" rank="10"/>
    <cfRule type="top10" priority="502" stopIfTrue="1" rank="10"/>
    <cfRule type="top10" priority="638" stopIfTrue="1" rank="10"/>
    <cfRule type="top10" priority="594" stopIfTrue="1" rank="10"/>
  </conditionalFormatting>
  <conditionalFormatting sqref="D32:D34 D11:D19">
    <cfRule type="top10" priority="498" stopIfTrue="1" rank="10"/>
    <cfRule type="top10" priority="330" stopIfTrue="1" rank="10"/>
  </conditionalFormatting>
  <conditionalFormatting sqref="D32:D34 D14:D19">
    <cfRule type="top10" priority="590" stopIfTrue="1" rank="10"/>
    <cfRule type="top10" priority="656" stopIfTrue="1" rank="10"/>
    <cfRule type="top10" priority="667" stopIfTrue="1" rank="10"/>
    <cfRule type="top10" priority="634" stopIfTrue="1" rank="10"/>
  </conditionalFormatting>
  <conditionalFormatting sqref="D33:D35 D11:D20">
    <cfRule type="top10" priority="333" stopIfTrue="1" rank="10"/>
    <cfRule type="top10" priority="501" stopIfTrue="1" rank="10"/>
  </conditionalFormatting>
  <conditionalFormatting sqref="D33:D35 D14:D20">
    <cfRule type="top10" priority="659" stopIfTrue="1" rank="10"/>
    <cfRule type="top10" priority="670" stopIfTrue="1" rank="10"/>
    <cfRule type="top10" priority="593" stopIfTrue="1" rank="10"/>
    <cfRule type="top10" priority="637" stopIfTrue="1" rank="10"/>
  </conditionalFormatting>
  <conditionalFormatting sqref="D35:D37 D13:D22">
    <cfRule type="top10" priority="336" stopIfTrue="1" rank="10"/>
    <cfRule type="top10" priority="504" stopIfTrue="1" rank="10"/>
  </conditionalFormatting>
  <conditionalFormatting sqref="D35:D37 D14:D22">
    <cfRule type="top10" priority="673" stopIfTrue="1" rank="10"/>
    <cfRule type="top10" priority="662" stopIfTrue="1" rank="10"/>
    <cfRule type="top10" priority="640" stopIfTrue="1" rank="10"/>
    <cfRule type="top10" priority="596" stopIfTrue="1" rank="10"/>
  </conditionalFormatting>
  <conditionalFormatting sqref="D35:D38">
    <cfRule type="top10" priority="329" stopIfTrue="1" rank="10"/>
    <cfRule type="top10" priority="666" stopIfTrue="1" rank="10"/>
    <cfRule type="top10" priority="497" stopIfTrue="1" rank="10"/>
    <cfRule type="top10" priority="589" stopIfTrue="1" rank="10"/>
    <cfRule type="top10" priority="655" stopIfTrue="1" rank="10"/>
    <cfRule type="top10" priority="633" stopIfTrue="1" rank="10"/>
  </conditionalFormatting>
  <conditionalFormatting sqref="D36:D38">
    <cfRule type="top10" priority="500" stopIfTrue="1" rank="10"/>
    <cfRule type="top10" priority="332" stopIfTrue="1" rank="10"/>
    <cfRule type="top10" priority="669" stopIfTrue="1" rank="10"/>
    <cfRule type="top10" priority="592" stopIfTrue="1" rank="10"/>
    <cfRule type="top10" priority="636" stopIfTrue="1" rank="10"/>
    <cfRule type="top10" priority="658" stopIfTrue="1" rank="10"/>
  </conditionalFormatting>
  <conditionalFormatting sqref="D14:F14">
    <cfRule type="top10" priority="586" stopIfTrue="1" rank="10"/>
    <cfRule type="top10" priority="663" stopIfTrue="1" rank="10"/>
    <cfRule type="top10" priority="652" stopIfTrue="1" rank="10"/>
    <cfRule type="top10" priority="630" stopIfTrue="1" rank="10"/>
  </conditionalFormatting>
  <conditionalFormatting sqref="E8:E10">
    <cfRule type="top10" priority="565" stopIfTrue="1" rank="10"/>
    <cfRule type="top10" priority="642" stopIfTrue="1" rank="10"/>
    <cfRule type="top10" priority="609" stopIfTrue="1" rank="10"/>
    <cfRule type="top10" priority="159" stopIfTrue="1" rank="10"/>
    <cfRule type="top10" priority="543" stopIfTrue="1" rank="10"/>
    <cfRule type="top10" priority="620" stopIfTrue="1" rank="10"/>
    <cfRule type="top10" priority="576" stopIfTrue="1" rank="10"/>
  </conditionalFormatting>
  <conditionalFormatting sqref="E8:E12">
    <cfRule type="top10" priority="551" stopIfTrue="1" rank="10"/>
    <cfRule type="top10" priority="167" stopIfTrue="1" rank="10"/>
    <cfRule type="top10" priority="617" stopIfTrue="1" rank="10"/>
    <cfRule type="top10" priority="584" stopIfTrue="1" rank="10"/>
    <cfRule type="top10" priority="650" stopIfTrue="1" rank="10"/>
    <cfRule type="top10" priority="628" stopIfTrue="1" rank="10"/>
    <cfRule type="top10" priority="573" stopIfTrue="1" rank="10"/>
  </conditionalFormatting>
  <conditionalFormatting sqref="E8:E13">
    <cfRule type="top10" priority="169" stopIfTrue="1" rank="10"/>
    <cfRule type="top10" priority="170" stopIfTrue="1" rank="10"/>
    <cfRule type="top10" priority="171" stopIfTrue="1" rank="10"/>
    <cfRule type="top10" priority="172" stopIfTrue="1" rank="10"/>
    <cfRule type="top10" priority="340" stopIfTrue="1" rank="10"/>
    <cfRule type="top10" priority="339" stopIfTrue="1" rank="10"/>
    <cfRule type="top10" priority="338" stopIfTrue="1" rank="10"/>
    <cfRule type="top10" priority="337" stopIfTrue="1" rank="10"/>
  </conditionalFormatting>
  <conditionalFormatting sqref="E13:E14">
    <cfRule type="top10" priority="608" stopIfTrue="1" rank="10"/>
    <cfRule type="top10" priority="641" stopIfTrue="1" rank="10"/>
    <cfRule type="top10" priority="575" stopIfTrue="1" rank="10"/>
    <cfRule type="top10" priority="542" stopIfTrue="1" rank="10"/>
    <cfRule type="top10" priority="619" stopIfTrue="1" rank="10"/>
    <cfRule type="top10" priority="158" stopIfTrue="1" rank="10"/>
    <cfRule type="top10" priority="564" stopIfTrue="1" rank="10"/>
  </conditionalFormatting>
  <conditionalFormatting sqref="E20:E31">
    <cfRule type="top10" priority="318" stopIfTrue="1" rank="10"/>
    <cfRule type="top10" priority="478" stopIfTrue="1" rank="10"/>
    <cfRule type="top10" priority="160" stopIfTrue="1" rank="10"/>
    <cfRule type="top10" priority="643" stopIfTrue="1" rank="10"/>
    <cfRule type="top10" priority="486" stopIfTrue="1" rank="10"/>
    <cfRule type="top10" priority="418" stopIfTrue="1" rank="10"/>
    <cfRule type="top10" priority="610" stopIfTrue="1" rank="10"/>
    <cfRule type="top10" priority="459" stopIfTrue="1" rank="10"/>
    <cfRule type="top10" priority="291" stopIfTrue="1" rank="10"/>
    <cfRule type="top10" priority="566" stopIfTrue="1" rank="10"/>
    <cfRule type="top10" priority="250" stopIfTrue="1" rank="10"/>
    <cfRule type="top10" priority="621" stopIfTrue="1" rank="10"/>
    <cfRule type="top10" priority="544" stopIfTrue="1" rank="10"/>
    <cfRule type="top10" priority="310" stopIfTrue="1" rank="10"/>
    <cfRule type="top10" priority="577" stopIfTrue="1" rank="10"/>
  </conditionalFormatting>
  <conditionalFormatting sqref="E21:E32">
    <cfRule type="top10" priority="163" stopIfTrue="1" rank="10"/>
    <cfRule type="top10" priority="646" stopIfTrue="1" rank="10"/>
    <cfRule type="top10" priority="421" stopIfTrue="1" rank="10"/>
    <cfRule type="top10" priority="613" stopIfTrue="1" rank="10"/>
    <cfRule type="top10" priority="624" stopIfTrue="1" rank="10"/>
    <cfRule type="top10" priority="313" stopIfTrue="1" rank="10"/>
    <cfRule type="top10" priority="489" stopIfTrue="1" rank="10"/>
    <cfRule type="top10" priority="294" stopIfTrue="1" rank="10"/>
    <cfRule type="top10" priority="569" stopIfTrue="1" rank="10"/>
    <cfRule type="top10" priority="253" stopIfTrue="1" rank="10"/>
    <cfRule type="top10" priority="462" stopIfTrue="1" rank="10"/>
    <cfRule type="top10" priority="580" stopIfTrue="1" rank="10"/>
    <cfRule type="top10" priority="481" stopIfTrue="1" rank="10"/>
    <cfRule type="top10" priority="547" stopIfTrue="1" rank="10"/>
    <cfRule type="top10" priority="321" stopIfTrue="1" rank="10"/>
  </conditionalFormatting>
  <conditionalFormatting sqref="E23:E34">
    <cfRule type="top10" priority="465" stopIfTrue="1" rank="10"/>
    <cfRule type="top10" priority="484" stopIfTrue="1" rank="10"/>
    <cfRule type="top10" priority="583" stopIfTrue="1" rank="10"/>
    <cfRule type="top10" priority="550" stopIfTrue="1" rank="10"/>
    <cfRule type="top10" priority="649" stopIfTrue="1" rank="10"/>
    <cfRule type="top10" priority="492" stopIfTrue="1" rank="10"/>
    <cfRule type="top10" priority="616" stopIfTrue="1" rank="10"/>
    <cfRule type="top10" priority="324" stopIfTrue="1" rank="10"/>
    <cfRule type="top10" priority="572" stopIfTrue="1" rank="10"/>
    <cfRule type="top10" priority="256" stopIfTrue="1" rank="10"/>
    <cfRule type="top10" priority="316" stopIfTrue="1" rank="10"/>
    <cfRule type="top10" priority="297" stopIfTrue="1" rank="10"/>
    <cfRule type="top10" priority="424" stopIfTrue="1" rank="10"/>
    <cfRule type="top10" priority="627" stopIfTrue="1" rank="10"/>
    <cfRule type="top10" priority="166" stopIfTrue="1" rank="10"/>
  </conditionalFormatting>
  <conditionalFormatting sqref="E32:E34 E11:E19">
    <cfRule type="top10" priority="612" stopIfTrue="1" rank="10"/>
    <cfRule type="top10" priority="162" stopIfTrue="1" rank="10"/>
    <cfRule type="top10" priority="645" stopIfTrue="1" rank="10"/>
    <cfRule type="top10" priority="623" stopIfTrue="1" rank="10"/>
    <cfRule type="top10" priority="546" stopIfTrue="1" rank="10"/>
    <cfRule type="top10" priority="579" stopIfTrue="1" rank="10"/>
    <cfRule type="top10" priority="568" stopIfTrue="1" rank="10"/>
  </conditionalFormatting>
  <conditionalFormatting sqref="E32:E34 E14:E19">
    <cfRule type="top10" priority="312" stopIfTrue="1" rank="10"/>
    <cfRule type="top10" priority="293" stopIfTrue="1" rank="10"/>
    <cfRule type="top10" priority="420" stopIfTrue="1" rank="10"/>
    <cfRule type="top10" priority="488" stopIfTrue="1" rank="10"/>
    <cfRule type="top10" priority="252" stopIfTrue="1" rank="10"/>
    <cfRule type="top10" priority="320" stopIfTrue="1" rank="10"/>
    <cfRule type="top10" priority="461" stopIfTrue="1" rank="10"/>
    <cfRule type="top10" priority="480" stopIfTrue="1" rank="10"/>
  </conditionalFormatting>
  <conditionalFormatting sqref="E33:E35 E11:E20">
    <cfRule type="top10" priority="165" stopIfTrue="1" rank="10"/>
    <cfRule type="top10" priority="615" stopIfTrue="1" rank="10"/>
    <cfRule type="top10" priority="549" stopIfTrue="1" rank="10"/>
    <cfRule type="top10" priority="582" stopIfTrue="1" rank="10"/>
    <cfRule type="top10" priority="648" stopIfTrue="1" rank="10"/>
    <cfRule type="top10" priority="626" stopIfTrue="1" rank="10"/>
    <cfRule type="top10" priority="571" stopIfTrue="1" rank="10"/>
  </conditionalFormatting>
  <conditionalFormatting sqref="E33:E35 E14:E20">
    <cfRule type="top10" priority="423" stopIfTrue="1" rank="10"/>
    <cfRule type="top10" priority="296" stopIfTrue="1" rank="10"/>
    <cfRule type="top10" priority="464" stopIfTrue="1" rank="10"/>
    <cfRule type="top10" priority="323" stopIfTrue="1" rank="10"/>
    <cfRule type="top10" priority="483" stopIfTrue="1" rank="10"/>
    <cfRule type="top10" priority="315" stopIfTrue="1" rank="10"/>
    <cfRule type="top10" priority="255" stopIfTrue="1" rank="10"/>
    <cfRule type="top10" priority="491" stopIfTrue="1" rank="10"/>
  </conditionalFormatting>
  <conditionalFormatting sqref="E35:E37 E13:E22">
    <cfRule type="top10" priority="651" stopIfTrue="1" rank="10"/>
    <cfRule type="top10" priority="585" stopIfTrue="1" rank="10"/>
    <cfRule type="top10" priority="618" stopIfTrue="1" rank="10"/>
    <cfRule type="top10" priority="552" stopIfTrue="1" rank="10"/>
    <cfRule type="top10" priority="168" stopIfTrue="1" rank="10"/>
    <cfRule type="top10" priority="629" stopIfTrue="1" rank="10"/>
    <cfRule type="top10" priority="574" stopIfTrue="1" rank="10"/>
  </conditionalFormatting>
  <conditionalFormatting sqref="E35:E37 E14:E22">
    <cfRule type="top10" priority="317" stopIfTrue="1" rank="10"/>
    <cfRule type="top10" priority="493" stopIfTrue="1" rank="10"/>
    <cfRule type="top10" priority="425" stopIfTrue="1" rank="10"/>
    <cfRule type="top10" priority="466" stopIfTrue="1" rank="10"/>
    <cfRule type="top10" priority="257" stopIfTrue="1" rank="10"/>
    <cfRule type="top10" priority="485" stopIfTrue="1" rank="10"/>
    <cfRule type="top10" priority="325" stopIfTrue="1" rank="10"/>
    <cfRule type="top10" priority="298" stopIfTrue="1" rank="10"/>
  </conditionalFormatting>
  <conditionalFormatting sqref="E35:E38">
    <cfRule type="top10" priority="419" stopIfTrue="1" rank="10"/>
    <cfRule type="top10" priority="319" stopIfTrue="1" rank="10"/>
    <cfRule type="top10" priority="251" stopIfTrue="1" rank="10"/>
    <cfRule type="top10" priority="460" stopIfTrue="1" rank="10"/>
    <cfRule type="top10" priority="567" stopIfTrue="1" rank="10"/>
    <cfRule type="top10" priority="311" stopIfTrue="1" rank="10"/>
    <cfRule type="top10" priority="545" stopIfTrue="1" rank="10"/>
    <cfRule type="top10" priority="479" stopIfTrue="1" rank="10"/>
    <cfRule type="top10" priority="622" stopIfTrue="1" rank="10"/>
    <cfRule type="top10" priority="487" stopIfTrue="1" rank="10"/>
    <cfRule type="top10" priority="578" stopIfTrue="1" rank="10"/>
    <cfRule type="top10" priority="161" stopIfTrue="1" rank="10"/>
    <cfRule type="top10" priority="611" stopIfTrue="1" rank="10"/>
    <cfRule type="top10" priority="292" stopIfTrue="1" rank="10"/>
    <cfRule type="top10" priority="644" stopIfTrue="1" rank="10"/>
  </conditionalFormatting>
  <conditionalFormatting sqref="E36:E38">
    <cfRule type="top10" priority="422" stopIfTrue="1" rank="10"/>
    <cfRule type="top10" priority="490" stopIfTrue="1" rank="10"/>
    <cfRule type="top10" priority="647" stopIfTrue="1" rank="10"/>
    <cfRule type="top10" priority="581" stopIfTrue="1" rank="10"/>
    <cfRule type="top10" priority="164" stopIfTrue="1" rank="10"/>
    <cfRule type="top10" priority="570" stopIfTrue="1" rank="10"/>
    <cfRule type="top10" priority="625" stopIfTrue="1" rank="10"/>
    <cfRule type="top10" priority="614" stopIfTrue="1" rank="10"/>
    <cfRule type="top10" priority="295" stopIfTrue="1" rank="10"/>
    <cfRule type="top10" priority="314" stopIfTrue="1" rank="10"/>
    <cfRule type="top10" priority="322" stopIfTrue="1" rank="10"/>
    <cfRule type="top10" priority="548" stopIfTrue="1" rank="10"/>
    <cfRule type="top10" priority="463" stopIfTrue="1" rank="10"/>
    <cfRule type="top10" priority="254" stopIfTrue="1" rank="10"/>
    <cfRule type="top10" priority="482" stopIfTrue="1" rank="10"/>
  </conditionalFormatting>
  <conditionalFormatting sqref="F8:F10">
    <cfRule type="top10" priority="521" stopIfTrue="1" rank="10"/>
    <cfRule type="top10" priority="449" stopIfTrue="1" rank="10"/>
    <cfRule type="top10" priority="240" stopIfTrue="1" rank="10"/>
    <cfRule type="top10" priority="229" stopIfTrue="1" rank="10"/>
    <cfRule type="top10" priority="281" stopIfTrue="1" rank="10"/>
    <cfRule type="top10" priority="375" stopIfTrue="1" rank="10"/>
    <cfRule type="top10" priority="598" stopIfTrue="1" rank="10"/>
    <cfRule type="top10" priority="397" stopIfTrue="1" rank="10"/>
    <cfRule type="top10" priority="554" stopIfTrue="1" rank="10"/>
    <cfRule type="top10" priority="207" stopIfTrue="1" rank="10"/>
    <cfRule type="top10" priority="532" stopIfTrue="1" rank="10"/>
    <cfRule type="top10" priority="270" stopIfTrue="1" rank="10"/>
    <cfRule type="top10" priority="408" stopIfTrue="1" rank="10"/>
    <cfRule type="top10" priority="300" stopIfTrue="1" rank="10"/>
    <cfRule type="top10" priority="438" stopIfTrue="1" rank="10"/>
    <cfRule type="top10" priority="468" stopIfTrue="1" rank="10"/>
  </conditionalFormatting>
  <conditionalFormatting sqref="F8:F12">
    <cfRule type="top10" priority="237" stopIfTrue="1" rank="10"/>
    <cfRule type="top10" priority="457" stopIfTrue="1" rank="10"/>
    <cfRule type="top10" priority="446" stopIfTrue="1" rank="10"/>
    <cfRule type="top10" priority="476" stopIfTrue="1" rank="10"/>
    <cfRule type="top10" priority="416" stopIfTrue="1" rank="10"/>
    <cfRule type="top10" priority="529" stopIfTrue="1" rank="10"/>
    <cfRule type="top10" priority="308" stopIfTrue="1" rank="10"/>
    <cfRule type="top10" priority="248" stopIfTrue="1" rank="10"/>
    <cfRule type="top10" priority="540" stopIfTrue="1" rank="10"/>
    <cfRule type="top10" priority="405" stopIfTrue="1" rank="10"/>
    <cfRule type="top10" priority="562" stopIfTrue="1" rank="10"/>
    <cfRule type="top10" priority="383" stopIfTrue="1" rank="10"/>
    <cfRule type="top10" priority="606" stopIfTrue="1" rank="10"/>
    <cfRule type="top10" priority="289" stopIfTrue="1" rank="10"/>
    <cfRule type="top10" priority="215" stopIfTrue="1" rank="10"/>
    <cfRule type="top10" priority="278" stopIfTrue="1" rank="10"/>
  </conditionalFormatting>
  <conditionalFormatting sqref="F8:F13">
    <cfRule type="top10" priority="1" stopIfTrue="1" rank="10"/>
    <cfRule type="top10" priority="3" stopIfTrue="1" rank="10"/>
    <cfRule type="top10" priority="2" stopIfTrue="1" rank="10"/>
    <cfRule type="top10" priority="4" stopIfTrue="1" rank="10"/>
  </conditionalFormatting>
  <conditionalFormatting sqref="F13:F14">
    <cfRule type="top10" priority="206" stopIfTrue="1" rank="10"/>
    <cfRule type="top10" priority="531" stopIfTrue="1" rank="10"/>
    <cfRule type="top10" priority="520" stopIfTrue="1" rank="10"/>
    <cfRule type="top10" priority="553" stopIfTrue="1" rank="10"/>
    <cfRule type="top10" priority="269" stopIfTrue="1" rank="10"/>
    <cfRule type="top10" priority="228" stopIfTrue="1" rank="10"/>
    <cfRule type="top10" priority="280" stopIfTrue="1" rank="10"/>
    <cfRule type="top10" priority="448" stopIfTrue="1" rank="10"/>
    <cfRule type="top10" priority="374" stopIfTrue="1" rank="10"/>
    <cfRule type="top10" priority="239" stopIfTrue="1" rank="10"/>
    <cfRule type="top10" priority="437" stopIfTrue="1" rank="10"/>
    <cfRule type="top10" priority="467" stopIfTrue="1" rank="10"/>
    <cfRule type="top10" priority="597" stopIfTrue="1" rank="10"/>
    <cfRule type="top10" priority="396" stopIfTrue="1" rank="10"/>
    <cfRule type="top10" priority="299" stopIfTrue="1" rank="10"/>
    <cfRule type="top10" priority="407" stopIfTrue="1" rank="10"/>
  </conditionalFormatting>
  <conditionalFormatting sqref="F20:F31">
    <cfRule type="top10" priority="439" stopIfTrue="1" rank="10"/>
    <cfRule type="top10" priority="271" stopIfTrue="1" rank="10"/>
    <cfRule type="top10" priority="533" stopIfTrue="1" rank="10"/>
    <cfRule type="top10" priority="82" stopIfTrue="1" rank="10"/>
    <cfRule type="top10" priority="208" stopIfTrue="1" rank="10"/>
    <cfRule type="top10" priority="522" stopIfTrue="1" rank="10"/>
    <cfRule type="top10" priority="142" stopIfTrue="1" rank="10"/>
    <cfRule type="top10" priority="123" stopIfTrue="1" rank="10"/>
    <cfRule type="top10" priority="599" stopIfTrue="1" rank="10"/>
    <cfRule type="top10" priority="555" stopIfTrue="1" rank="10"/>
    <cfRule type="top10" priority="150" stopIfTrue="1" rank="10"/>
    <cfRule type="top10" priority="301" stopIfTrue="1" rank="10"/>
    <cfRule type="top10" priority="398" stopIfTrue="1" rank="10"/>
    <cfRule type="top10" priority="230" stopIfTrue="1" rank="10"/>
    <cfRule type="top10" priority="282" stopIfTrue="1" rank="10"/>
    <cfRule type="top10" priority="376" stopIfTrue="1" rank="10"/>
    <cfRule type="top10" priority="450" stopIfTrue="1" rank="10"/>
    <cfRule type="top10" priority="241" stopIfTrue="1" rank="10"/>
    <cfRule type="top10" priority="469" stopIfTrue="1" rank="10"/>
    <cfRule type="top10" priority="409" stopIfTrue="1" rank="10"/>
  </conditionalFormatting>
  <conditionalFormatting sqref="F21:F32">
    <cfRule type="top10" priority="453" stopIfTrue="1" rank="10"/>
    <cfRule type="top10" priority="536" stopIfTrue="1" rank="10"/>
    <cfRule type="top10" priority="472" stopIfTrue="1" rank="10"/>
    <cfRule type="top10" priority="244" stopIfTrue="1" rank="10"/>
    <cfRule type="top10" priority="85" stopIfTrue="1" rank="10"/>
    <cfRule type="top10" priority="274" stopIfTrue="1" rank="10"/>
    <cfRule type="top10" priority="525" stopIfTrue="1" rank="10"/>
    <cfRule type="top10" priority="285" stopIfTrue="1" rank="10"/>
    <cfRule type="top10" priority="379" stopIfTrue="1" rank="10"/>
    <cfRule type="top10" priority="602" stopIfTrue="1" rank="10"/>
    <cfRule type="top10" priority="126" stopIfTrue="1" rank="10"/>
    <cfRule type="top10" priority="211" stopIfTrue="1" rank="10"/>
    <cfRule type="top10" priority="233" stopIfTrue="1" rank="10"/>
    <cfRule type="top10" priority="304" stopIfTrue="1" rank="10"/>
    <cfRule type="top10" priority="153" stopIfTrue="1" rank="10"/>
    <cfRule type="top10" priority="412" stopIfTrue="1" rank="10"/>
    <cfRule type="top10" priority="442" stopIfTrue="1" rank="10"/>
    <cfRule type="top10" priority="401" stopIfTrue="1" rank="10"/>
    <cfRule type="top10" priority="145" stopIfTrue="1" rank="10"/>
    <cfRule type="top10" priority="558" stopIfTrue="1" rank="10"/>
  </conditionalFormatting>
  <conditionalFormatting sqref="F23:F34">
    <cfRule type="top10" priority="148" stopIfTrue="1" rank="10"/>
    <cfRule type="top10" priority="88" stopIfTrue="1" rank="10"/>
    <cfRule type="top10" priority="288" stopIfTrue="1" rank="10"/>
    <cfRule type="top10" priority="277" stopIfTrue="1" rank="10"/>
    <cfRule type="top10" priority="561" stopIfTrue="1" rank="10"/>
    <cfRule type="top10" priority="404" stopIfTrue="1" rank="10"/>
    <cfRule type="top10" priority="445" stopIfTrue="1" rank="10"/>
    <cfRule type="top10" priority="415" stopIfTrue="1" rank="10"/>
    <cfRule type="top10" priority="236" stopIfTrue="1" rank="10"/>
    <cfRule type="top10" priority="214" stopIfTrue="1" rank="10"/>
    <cfRule type="top10" priority="307" stopIfTrue="1" rank="10"/>
    <cfRule type="top10" priority="528" stopIfTrue="1" rank="10"/>
    <cfRule type="top10" priority="129" stopIfTrue="1" rank="10"/>
    <cfRule type="top10" priority="605" stopIfTrue="1" rank="10"/>
    <cfRule type="top10" priority="382" stopIfTrue="1" rank="10"/>
    <cfRule type="top10" priority="456" stopIfTrue="1" rank="10"/>
    <cfRule type="top10" priority="156" stopIfTrue="1" rank="10"/>
    <cfRule type="top10" priority="475" stopIfTrue="1" rank="10"/>
    <cfRule type="top10" priority="539" stopIfTrue="1" rank="10"/>
    <cfRule type="top10" priority="247" stopIfTrue="1" rank="10"/>
  </conditionalFormatting>
  <conditionalFormatting sqref="F32:F34 F11:F19">
    <cfRule type="top10" priority="535" stopIfTrue="1" rank="10"/>
    <cfRule type="top10" priority="441" stopIfTrue="1" rank="10"/>
    <cfRule type="top10" priority="452" stopIfTrue="1" rank="10"/>
    <cfRule type="top10" priority="284" stopIfTrue="1" rank="10"/>
    <cfRule type="top10" priority="273" stopIfTrue="1" rank="10"/>
    <cfRule type="top10" priority="411" stopIfTrue="1" rank="10"/>
    <cfRule type="top10" priority="601" stopIfTrue="1" rank="10"/>
    <cfRule type="top10" priority="524" stopIfTrue="1" rank="10"/>
    <cfRule type="top10" priority="400" stopIfTrue="1" rank="10"/>
    <cfRule type="top10" priority="303" stopIfTrue="1" rank="10"/>
    <cfRule type="top10" priority="471" stopIfTrue="1" rank="10"/>
    <cfRule type="top10" priority="243" stopIfTrue="1" rank="10"/>
    <cfRule type="top10" priority="210" stopIfTrue="1" rank="10"/>
    <cfRule type="top10" priority="378" stopIfTrue="1" rank="10"/>
    <cfRule type="top10" priority="557" stopIfTrue="1" rank="10"/>
    <cfRule type="top10" priority="232" stopIfTrue="1" rank="10"/>
  </conditionalFormatting>
  <conditionalFormatting sqref="F32:F34 F14:F19">
    <cfRule type="top10" priority="152" stopIfTrue="1" rank="10"/>
    <cfRule type="top10" priority="84" stopIfTrue="1" rank="10"/>
    <cfRule type="top10" priority="125" stopIfTrue="1" rank="10"/>
    <cfRule type="top10" priority="144" stopIfTrue="1" rank="10"/>
  </conditionalFormatting>
  <conditionalFormatting sqref="F33:F35 F11:F20">
    <cfRule type="top10" priority="538" stopIfTrue="1" rank="10"/>
    <cfRule type="top10" priority="246" stopIfTrue="1" rank="10"/>
    <cfRule type="top10" priority="560" stopIfTrue="1" rank="10"/>
    <cfRule type="top10" priority="276" stopIfTrue="1" rank="10"/>
    <cfRule type="top10" priority="604" stopIfTrue="1" rank="10"/>
    <cfRule type="top10" priority="213" stopIfTrue="1" rank="10"/>
    <cfRule type="top10" priority="235" stopIfTrue="1" rank="10"/>
    <cfRule type="top10" priority="444" stopIfTrue="1" rank="10"/>
    <cfRule type="top10" priority="403" stopIfTrue="1" rank="10"/>
    <cfRule type="top10" priority="287" stopIfTrue="1" rank="10"/>
    <cfRule type="top10" priority="455" stopIfTrue="1" rank="10"/>
    <cfRule type="top10" priority="381" stopIfTrue="1" rank="10"/>
    <cfRule type="top10" priority="414" stopIfTrue="1" rank="10"/>
    <cfRule type="top10" priority="306" stopIfTrue="1" rank="10"/>
    <cfRule type="top10" priority="474" stopIfTrue="1" rank="10"/>
    <cfRule type="top10" priority="527" stopIfTrue="1" rank="10"/>
  </conditionalFormatting>
  <conditionalFormatting sqref="F33:F35 F14:F20">
    <cfRule type="top10" priority="128" stopIfTrue="1" rank="10"/>
    <cfRule type="top10" priority="87" stopIfTrue="1" rank="10"/>
    <cfRule type="top10" priority="147" stopIfTrue="1" rank="10"/>
    <cfRule type="top10" priority="155" stopIfTrue="1" rank="10"/>
  </conditionalFormatting>
  <conditionalFormatting sqref="F35:F37 F13:F22">
    <cfRule type="top10" priority="290" stopIfTrue="1" rank="10"/>
    <cfRule type="top10" priority="309" stopIfTrue="1" rank="10"/>
    <cfRule type="top10" priority="417" stopIfTrue="1" rank="10"/>
    <cfRule type="top10" priority="249" stopIfTrue="1" rank="10"/>
    <cfRule type="top10" priority="447" stopIfTrue="1" rank="10"/>
    <cfRule type="top10" priority="216" stopIfTrue="1" rank="10"/>
    <cfRule type="top10" priority="530" stopIfTrue="1" rank="10"/>
    <cfRule type="top10" priority="384" stopIfTrue="1" rank="10"/>
    <cfRule type="top10" priority="279" stopIfTrue="1" rank="10"/>
    <cfRule type="top10" priority="541" stopIfTrue="1" rank="10"/>
    <cfRule type="top10" priority="238" stopIfTrue="1" rank="10"/>
    <cfRule type="top10" priority="458" stopIfTrue="1" rank="10"/>
    <cfRule type="top10" priority="477" stopIfTrue="1" rank="10"/>
    <cfRule type="top10" priority="563" stopIfTrue="1" rank="10"/>
    <cfRule type="top10" priority="406" stopIfTrue="1" rank="10"/>
    <cfRule type="top10" priority="607" stopIfTrue="1" rank="10"/>
  </conditionalFormatting>
  <conditionalFormatting sqref="F35:F37 F14:F22">
    <cfRule type="top10" priority="130" stopIfTrue="1" rank="10"/>
    <cfRule type="top10" priority="149" stopIfTrue="1" rank="10"/>
    <cfRule type="top10" priority="89" stopIfTrue="1" rank="10"/>
    <cfRule type="top10" priority="157" stopIfTrue="1" rank="10"/>
  </conditionalFormatting>
  <conditionalFormatting sqref="F35:F38">
    <cfRule type="top10" priority="151" stopIfTrue="1" rank="10"/>
    <cfRule type="top10" priority="410" stopIfTrue="1" rank="10"/>
    <cfRule type="top10" priority="600" stopIfTrue="1" rank="10"/>
    <cfRule type="top10" priority="523" stopIfTrue="1" rank="10"/>
    <cfRule type="top10" priority="399" stopIfTrue="1" rank="10"/>
    <cfRule type="top10" priority="302" stopIfTrue="1" rank="10"/>
    <cfRule type="top10" priority="209" stopIfTrue="1" rank="10"/>
    <cfRule type="top10" priority="470" stopIfTrue="1" rank="10"/>
    <cfRule type="top10" priority="124" stopIfTrue="1" rank="10"/>
    <cfRule type="top10" priority="143" stopIfTrue="1" rank="10"/>
    <cfRule type="top10" priority="451" stopIfTrue="1" rank="10"/>
    <cfRule type="top10" priority="283" stopIfTrue="1" rank="10"/>
    <cfRule type="top10" priority="83" stopIfTrue="1" rank="10"/>
    <cfRule type="top10" priority="556" stopIfTrue="1" rank="10"/>
    <cfRule type="top10" priority="242" stopIfTrue="1" rank="10"/>
    <cfRule type="top10" priority="377" stopIfTrue="1" rank="10"/>
    <cfRule type="top10" priority="231" stopIfTrue="1" rank="10"/>
    <cfRule type="top10" priority="534" stopIfTrue="1" rank="10"/>
    <cfRule type="top10" priority="440" stopIfTrue="1" rank="10"/>
    <cfRule type="top10" priority="272" stopIfTrue="1" rank="10"/>
  </conditionalFormatting>
  <conditionalFormatting sqref="F36:F38">
    <cfRule type="top10" priority="454" stopIfTrue="1" rank="10"/>
    <cfRule type="top10" priority="603" stopIfTrue="1" rank="10"/>
    <cfRule type="top10" priority="559" stopIfTrue="1" rank="10"/>
    <cfRule type="top10" priority="473" stopIfTrue="1" rank="10"/>
    <cfRule type="top10" priority="86" stopIfTrue="1" rank="10"/>
    <cfRule type="top10" priority="127" stopIfTrue="1" rank="10"/>
    <cfRule type="top10" priority="275" stopIfTrue="1" rank="10"/>
    <cfRule type="top10" priority="402" stopIfTrue="1" rank="10"/>
    <cfRule type="top10" priority="380" stopIfTrue="1" rank="10"/>
    <cfRule type="top10" priority="212" stopIfTrue="1" rank="10"/>
    <cfRule type="top10" priority="537" stopIfTrue="1" rank="10"/>
    <cfRule type="top10" priority="154" stopIfTrue="1" rank="10"/>
    <cfRule type="top10" priority="234" stopIfTrue="1" rank="10"/>
    <cfRule type="top10" priority="443" stopIfTrue="1" rank="10"/>
    <cfRule type="top10" priority="413" stopIfTrue="1" rank="10"/>
    <cfRule type="top10" priority="305" stopIfTrue="1" rank="10"/>
    <cfRule type="top10" priority="286" stopIfTrue="1" rank="10"/>
    <cfRule type="top10" priority="526" stopIfTrue="1" rank="10"/>
    <cfRule type="top10" priority="146" stopIfTrue="1" rank="10"/>
    <cfRule type="top10" priority="245" stopIfTrue="1" rank="10"/>
  </conditionalFormatting>
  <conditionalFormatting sqref="G8:G10">
    <cfRule type="top10" priority="185" stopIfTrue="1" rank="10"/>
    <cfRule type="top10" priority="510" stopIfTrue="1" rank="10"/>
    <cfRule type="top10" priority="364" stopIfTrue="1" rank="10"/>
    <cfRule type="top10" priority="113" stopIfTrue="1" rank="10"/>
    <cfRule type="top10" priority="72" stopIfTrue="1" rank="10"/>
    <cfRule type="top10" priority="353" stopIfTrue="1" rank="10"/>
    <cfRule type="top10" priority="427" stopIfTrue="1" rank="10"/>
    <cfRule type="top10" priority="196" stopIfTrue="1" rank="10"/>
    <cfRule type="top10" priority="132" stopIfTrue="1" rank="10"/>
    <cfRule type="top10" priority="386" stopIfTrue="1" rank="10"/>
    <cfRule type="top10" priority="102" stopIfTrue="1" rank="10"/>
    <cfRule type="top10" priority="39" stopIfTrue="1" rank="10"/>
    <cfRule type="top10" priority="218" stopIfTrue="1" rank="10"/>
    <cfRule type="top10" priority="259" stopIfTrue="1" rank="10"/>
    <cfRule type="top10" priority="61" stopIfTrue="1" rank="10"/>
  </conditionalFormatting>
  <conditionalFormatting sqref="G8:G12">
    <cfRule type="top10" priority="121" stopIfTrue="1" rank="10"/>
    <cfRule type="top10" priority="361" stopIfTrue="1" rank="10"/>
    <cfRule type="top10" priority="372" stopIfTrue="1" rank="10"/>
    <cfRule type="top10" priority="267" stopIfTrue="1" rank="10"/>
    <cfRule type="top10" priority="394" stopIfTrue="1" rank="10"/>
    <cfRule type="top10" priority="140" stopIfTrue="1" rank="10"/>
    <cfRule type="top10" priority="435" stopIfTrue="1" rank="10"/>
    <cfRule type="top10" priority="226" stopIfTrue="1" rank="10"/>
    <cfRule type="top10" priority="80" stopIfTrue="1" rank="10"/>
    <cfRule type="top10" priority="193" stopIfTrue="1" rank="10"/>
    <cfRule type="top10" priority="47" stopIfTrue="1" rank="10"/>
    <cfRule type="top10" priority="69" stopIfTrue="1" rank="10"/>
    <cfRule type="top10" priority="110" stopIfTrue="1" rank="10"/>
    <cfRule type="top10" priority="518" stopIfTrue="1" rank="10"/>
    <cfRule type="top10" priority="204" stopIfTrue="1" rank="10"/>
  </conditionalFormatting>
  <conditionalFormatting sqref="G13:G14">
    <cfRule type="top10" priority="60" stopIfTrue="1" rank="10"/>
    <cfRule type="top10" priority="112" stopIfTrue="1" rank="10"/>
    <cfRule type="top10" priority="101" stopIfTrue="1" rank="10"/>
    <cfRule type="top10" priority="195" stopIfTrue="1" rank="10"/>
    <cfRule type="top10" priority="38" stopIfTrue="1" rank="10"/>
    <cfRule type="top10" priority="426" stopIfTrue="1" rank="10"/>
    <cfRule type="top10" priority="258" stopIfTrue="1" rank="10"/>
    <cfRule type="top10" priority="71" stopIfTrue="1" rank="10"/>
    <cfRule type="top10" priority="509" stopIfTrue="1" rank="10"/>
    <cfRule type="top10" priority="385" stopIfTrue="1" rank="10"/>
    <cfRule type="top10" priority="131" stopIfTrue="1" rank="10"/>
    <cfRule type="top10" priority="217" stopIfTrue="1" rank="10"/>
    <cfRule type="top10" priority="184" stopIfTrue="1" rank="10"/>
    <cfRule type="top10" priority="352" stopIfTrue="1" rank="10"/>
    <cfRule type="top10" priority="363" stopIfTrue="1" rank="10"/>
  </conditionalFormatting>
  <conditionalFormatting sqref="G20:G31">
    <cfRule type="top10" priority="186" stopIfTrue="1" rank="10"/>
    <cfRule type="top10" priority="511" stopIfTrue="1" rank="10"/>
    <cfRule type="top10" priority="219" stopIfTrue="1" rank="10"/>
    <cfRule type="top10" priority="40" stopIfTrue="1" rank="10"/>
    <cfRule type="top10" priority="133" stopIfTrue="1" rank="10"/>
    <cfRule type="top10" priority="428" stopIfTrue="1" rank="10"/>
    <cfRule type="top10" priority="365" stopIfTrue="1" rank="10"/>
    <cfRule type="top10" priority="62" stopIfTrue="1" rank="10"/>
    <cfRule type="top10" priority="197" stopIfTrue="1" rank="10"/>
    <cfRule type="top10" priority="103" stopIfTrue="1" rank="10"/>
    <cfRule type="top10" priority="354" stopIfTrue="1" rank="10"/>
    <cfRule type="top10" priority="114" stopIfTrue="1" rank="10"/>
    <cfRule type="top10" priority="387" stopIfTrue="1" rank="10"/>
    <cfRule type="top10" priority="73" stopIfTrue="1" rank="10"/>
    <cfRule type="top10" priority="260" stopIfTrue="1" rank="10"/>
  </conditionalFormatting>
  <conditionalFormatting sqref="G21:G32">
    <cfRule type="top10" priority="222" stopIfTrue="1" rank="10"/>
    <cfRule type="top10" priority="263" stopIfTrue="1" rank="10"/>
    <cfRule type="top10" priority="368" stopIfTrue="1" rank="10"/>
    <cfRule type="top10" priority="514" stopIfTrue="1" rank="10"/>
    <cfRule type="top10" priority="43" stopIfTrue="1" rank="10"/>
    <cfRule type="top10" priority="390" stopIfTrue="1" rank="10"/>
    <cfRule type="top10" priority="106" stopIfTrue="1" rank="10"/>
    <cfRule type="top10" priority="76" stopIfTrue="1" rank="10"/>
    <cfRule type="top10" priority="65" stopIfTrue="1" rank="10"/>
    <cfRule type="top10" priority="200" stopIfTrue="1" rank="10"/>
    <cfRule type="top10" priority="431" stopIfTrue="1" rank="10"/>
    <cfRule type="top10" priority="136" stopIfTrue="1" rank="10"/>
    <cfRule type="top10" priority="189" stopIfTrue="1" rank="10"/>
    <cfRule type="top10" priority="117" stopIfTrue="1" rank="10"/>
    <cfRule type="top10" priority="357" stopIfTrue="1" rank="10"/>
  </conditionalFormatting>
  <conditionalFormatting sqref="G23:G34">
    <cfRule type="top10" priority="266" stopIfTrue="1" rank="10"/>
    <cfRule type="top10" priority="192" stopIfTrue="1" rank="10"/>
    <cfRule type="top10" priority="225" stopIfTrue="1" rank="10"/>
    <cfRule type="top10" priority="68" stopIfTrue="1" rank="10"/>
    <cfRule type="top10" priority="434" stopIfTrue="1" rank="10"/>
    <cfRule type="top10" priority="360" stopIfTrue="1" rank="10"/>
    <cfRule type="top10" priority="46" stopIfTrue="1" rank="10"/>
    <cfRule type="top10" priority="393" stopIfTrue="1" rank="10"/>
    <cfRule type="top10" priority="371" stopIfTrue="1" rank="10"/>
    <cfRule type="top10" priority="203" stopIfTrue="1" rank="10"/>
    <cfRule type="top10" priority="139" stopIfTrue="1" rank="10"/>
    <cfRule type="top10" priority="517" stopIfTrue="1" rank="10"/>
    <cfRule type="top10" priority="109" stopIfTrue="1" rank="10"/>
    <cfRule type="top10" priority="120" stopIfTrue="1" rank="10"/>
    <cfRule type="top10" priority="79" stopIfTrue="1" rank="10"/>
  </conditionalFormatting>
  <conditionalFormatting sqref="G32:G34 G11:G19">
    <cfRule type="top10" priority="199" stopIfTrue="1" rank="10"/>
    <cfRule type="top10" priority="389" stopIfTrue="1" rank="10"/>
    <cfRule type="top10" priority="430" stopIfTrue="1" rank="10"/>
    <cfRule type="top10" priority="262" stopIfTrue="1" rank="10"/>
    <cfRule type="top10" priority="188" stopIfTrue="1" rank="10"/>
    <cfRule type="top10" priority="105" stopIfTrue="1" rank="10"/>
    <cfRule type="top10" priority="513" stopIfTrue="1" rank="10"/>
    <cfRule type="top10" priority="367" stopIfTrue="1" rank="10"/>
    <cfRule type="top10" priority="64" stopIfTrue="1" rank="10"/>
    <cfRule type="top10" priority="135" stopIfTrue="1" rank="10"/>
    <cfRule type="top10" priority="356" stopIfTrue="1" rank="10"/>
    <cfRule type="top10" priority="42" stopIfTrue="1" rank="10"/>
    <cfRule type="top10" priority="116" stopIfTrue="1" rank="10"/>
    <cfRule type="top10" priority="221" stopIfTrue="1" rank="10"/>
    <cfRule type="top10" priority="75" stopIfTrue="1" rank="10"/>
  </conditionalFormatting>
  <conditionalFormatting sqref="G33:G35 G11:G20">
    <cfRule type="top10" priority="433" stopIfTrue="1" rank="10"/>
    <cfRule type="top10" priority="138" stopIfTrue="1" rank="10"/>
    <cfRule type="top10" priority="224" stopIfTrue="1" rank="10"/>
    <cfRule type="top10" priority="516" stopIfTrue="1" rank="10"/>
    <cfRule type="top10" priority="202" stopIfTrue="1" rank="10"/>
    <cfRule type="top10" priority="265" stopIfTrue="1" rank="10"/>
    <cfRule type="top10" priority="45" stopIfTrue="1" rank="10"/>
    <cfRule type="top10" priority="78" stopIfTrue="1" rank="10"/>
    <cfRule type="top10" priority="191" stopIfTrue="1" rank="10"/>
    <cfRule type="top10" priority="119" stopIfTrue="1" rank="10"/>
    <cfRule type="top10" priority="392" stopIfTrue="1" rank="10"/>
    <cfRule type="top10" priority="67" stopIfTrue="1" rank="10"/>
    <cfRule type="top10" priority="359" stopIfTrue="1" rank="10"/>
    <cfRule type="top10" priority="370" stopIfTrue="1" rank="10"/>
    <cfRule type="top10" priority="108" stopIfTrue="1" rank="10"/>
  </conditionalFormatting>
  <conditionalFormatting sqref="G35:G37 G13:G22">
    <cfRule type="top10" priority="268" stopIfTrue="1" rank="10"/>
    <cfRule type="top10" priority="395" stopIfTrue="1" rank="10"/>
    <cfRule type="top10" priority="111" stopIfTrue="1" rank="10"/>
    <cfRule type="top10" priority="436" stopIfTrue="1" rank="10"/>
    <cfRule type="top10" priority="519" stopIfTrue="1" rank="10"/>
    <cfRule type="top10" priority="362" stopIfTrue="1" rank="10"/>
    <cfRule type="top10" priority="141" stopIfTrue="1" rank="10"/>
    <cfRule type="top10" priority="122" stopIfTrue="1" rank="10"/>
    <cfRule type="top10" priority="194" stopIfTrue="1" rank="10"/>
    <cfRule type="top10" priority="205" stopIfTrue="1" rank="10"/>
    <cfRule type="top10" priority="373" stopIfTrue="1" rank="10"/>
    <cfRule type="top10" priority="70" stopIfTrue="1" rank="10"/>
    <cfRule type="top10" priority="81" stopIfTrue="1" rank="10"/>
    <cfRule type="top10" priority="227" stopIfTrue="1" rank="10"/>
    <cfRule type="top10" priority="48" stopIfTrue="1" rank="10"/>
  </conditionalFormatting>
  <conditionalFormatting sqref="G35:G38">
    <cfRule type="top10" priority="74" stopIfTrue="1" rank="10"/>
    <cfRule type="top10" priority="41" stopIfTrue="1" rank="10"/>
    <cfRule type="top10" priority="134" stopIfTrue="1" rank="10"/>
    <cfRule type="top10" priority="187" stopIfTrue="1" rank="10"/>
    <cfRule type="top10" priority="388" stopIfTrue="1" rank="10"/>
    <cfRule type="top10" priority="63" stopIfTrue="1" rank="10"/>
    <cfRule type="top10" priority="355" stopIfTrue="1" rank="10"/>
    <cfRule type="top10" priority="104" stopIfTrue="1" rank="10"/>
    <cfRule type="top10" priority="220" stopIfTrue="1" rank="10"/>
    <cfRule type="top10" priority="115" stopIfTrue="1" rank="10"/>
    <cfRule type="top10" priority="198" stopIfTrue="1" rank="10"/>
    <cfRule type="top10" priority="429" stopIfTrue="1" rank="10"/>
    <cfRule type="top10" priority="366" stopIfTrue="1" rank="10"/>
    <cfRule type="top10" priority="512" stopIfTrue="1" rank="10"/>
    <cfRule type="top10" priority="261" stopIfTrue="1" rank="10"/>
  </conditionalFormatting>
  <conditionalFormatting sqref="G36:G38">
    <cfRule type="top10" priority="432" stopIfTrue="1" rank="10"/>
    <cfRule type="top10" priority="77" stopIfTrue="1" rank="10"/>
    <cfRule type="top10" priority="391" stopIfTrue="1" rank="10"/>
    <cfRule type="top10" priority="264" stopIfTrue="1" rank="10"/>
    <cfRule type="top10" priority="369" stopIfTrue="1" rank="10"/>
    <cfRule type="top10" priority="44" stopIfTrue="1" rank="10"/>
    <cfRule type="top10" priority="137" stopIfTrue="1" rank="10"/>
    <cfRule type="top10" priority="107" stopIfTrue="1" rank="10"/>
    <cfRule type="top10" priority="118" stopIfTrue="1" rank="10"/>
    <cfRule type="top10" priority="223" stopIfTrue="1" rank="10"/>
    <cfRule type="top10" priority="201" stopIfTrue="1" rank="10"/>
    <cfRule type="top10" priority="515" stopIfTrue="1" rank="10"/>
    <cfRule type="top10" priority="358" stopIfTrue="1" rank="10"/>
    <cfRule type="top10" priority="190" stopIfTrue="1" rank="10"/>
    <cfRule type="top10" priority="66" stopIfTrue="1" rank="10"/>
  </conditionalFormatting>
  <conditionalFormatting sqref="H8:H10">
    <cfRule type="top10" priority="17" stopIfTrue="1" rank="10"/>
    <cfRule type="top10" priority="50" stopIfTrue="1" rank="10"/>
    <cfRule type="top10" priority="342" stopIfTrue="1" rank="10"/>
    <cfRule type="top10" priority="91" stopIfTrue="1" rank="10"/>
    <cfRule type="top10" priority="174" stopIfTrue="1" rank="10"/>
    <cfRule type="top10" priority="28" stopIfTrue="1" rank="10"/>
  </conditionalFormatting>
  <conditionalFormatting sqref="H8:H12">
    <cfRule type="top10" priority="58" stopIfTrue="1" rank="10"/>
    <cfRule type="top10" priority="99" stopIfTrue="1" rank="10"/>
    <cfRule type="top10" priority="350" stopIfTrue="1" rank="10"/>
    <cfRule type="top10" priority="25" stopIfTrue="1" rank="10"/>
    <cfRule type="top10" priority="36" stopIfTrue="1" rank="10"/>
    <cfRule type="top10" priority="182" stopIfTrue="1" rank="10"/>
  </conditionalFormatting>
  <conditionalFormatting sqref="H13:H14">
    <cfRule type="top10" priority="90" stopIfTrue="1" rank="10"/>
    <cfRule type="top10" priority="27" stopIfTrue="1" rank="10"/>
    <cfRule type="top10" priority="173" stopIfTrue="1" rank="10"/>
    <cfRule type="top10" priority="16" stopIfTrue="1" rank="10"/>
    <cfRule type="top10" priority="341" stopIfTrue="1" rank="10"/>
    <cfRule type="top10" priority="49" stopIfTrue="1" rank="10"/>
  </conditionalFormatting>
  <conditionalFormatting sqref="H20:H31">
    <cfRule type="top10" priority="29" stopIfTrue="1" rank="10"/>
    <cfRule type="top10" priority="175" stopIfTrue="1" rank="10"/>
    <cfRule type="top10" priority="18" stopIfTrue="1" rank="10"/>
    <cfRule type="top10" priority="343" stopIfTrue="1" rank="10"/>
    <cfRule type="top10" priority="92" stopIfTrue="1" rank="10"/>
    <cfRule type="top10" priority="51" stopIfTrue="1" rank="10"/>
  </conditionalFormatting>
  <conditionalFormatting sqref="H21:H32">
    <cfRule type="top10" priority="178" stopIfTrue="1" rank="10"/>
    <cfRule type="top10" priority="54" stopIfTrue="1" rank="10"/>
    <cfRule type="top10" priority="346" stopIfTrue="1" rank="10"/>
    <cfRule type="top10" priority="21" stopIfTrue="1" rank="10"/>
    <cfRule type="top10" priority="95" stopIfTrue="1" rank="10"/>
    <cfRule type="top10" priority="32" stopIfTrue="1" rank="10"/>
  </conditionalFormatting>
  <conditionalFormatting sqref="H23:H34">
    <cfRule type="top10" priority="35" stopIfTrue="1" rank="10"/>
    <cfRule type="top10" priority="181" stopIfTrue="1" rank="10"/>
    <cfRule type="top10" priority="57" stopIfTrue="1" rank="10"/>
    <cfRule type="top10" priority="349" stopIfTrue="1" rank="10"/>
    <cfRule type="top10" priority="98" stopIfTrue="1" rank="10"/>
    <cfRule type="top10" priority="24" stopIfTrue="1" rank="10"/>
  </conditionalFormatting>
  <conditionalFormatting sqref="H32:H34 H11:H19">
    <cfRule type="top10" priority="53" stopIfTrue="1" rank="10"/>
    <cfRule type="top10" priority="345" stopIfTrue="1" rank="10"/>
    <cfRule type="top10" priority="94" stopIfTrue="1" rank="10"/>
    <cfRule type="top10" priority="31" stopIfTrue="1" rank="10"/>
    <cfRule type="top10" priority="20" stopIfTrue="1" rank="10"/>
    <cfRule type="top10" priority="177" stopIfTrue="1" rank="10"/>
  </conditionalFormatting>
  <conditionalFormatting sqref="H33:H35 H11:H20">
    <cfRule type="top10" priority="23" stopIfTrue="1" rank="10"/>
    <cfRule type="top10" priority="34" stopIfTrue="1" rank="10"/>
    <cfRule type="top10" priority="97" stopIfTrue="1" rank="10"/>
    <cfRule type="top10" priority="348" stopIfTrue="1" rank="10"/>
    <cfRule type="top10" priority="56" stopIfTrue="1" rank="10"/>
    <cfRule type="top10" priority="180" stopIfTrue="1" rank="10"/>
  </conditionalFormatting>
  <conditionalFormatting sqref="H35:H37 H13:H22">
    <cfRule type="top10" priority="37" stopIfTrue="1" rank="10"/>
    <cfRule type="top10" priority="100" stopIfTrue="1" rank="10"/>
    <cfRule type="top10" priority="59" stopIfTrue="1" rank="10"/>
    <cfRule type="top10" priority="26" stopIfTrue="1" rank="10"/>
    <cfRule type="top10" priority="183" stopIfTrue="1" rank="10"/>
    <cfRule type="top10" priority="351" stopIfTrue="1" rank="10"/>
  </conditionalFormatting>
  <conditionalFormatting sqref="H35:H38">
    <cfRule type="top10" priority="52" stopIfTrue="1" rank="10"/>
    <cfRule type="top10" priority="30" stopIfTrue="1" rank="10"/>
    <cfRule type="top10" priority="19" stopIfTrue="1" rank="10"/>
    <cfRule type="top10" priority="176" stopIfTrue="1" rank="10"/>
    <cfRule type="top10" priority="93" stopIfTrue="1" rank="10"/>
    <cfRule type="top10" priority="344" stopIfTrue="1" rank="10"/>
  </conditionalFormatting>
  <conditionalFormatting sqref="H36:H38">
    <cfRule type="top10" priority="22" stopIfTrue="1" rank="10"/>
    <cfRule type="top10" priority="33" stopIfTrue="1" rank="10"/>
    <cfRule type="top10" priority="96" stopIfTrue="1" rank="10"/>
    <cfRule type="top10" priority="347" stopIfTrue="1" rank="10"/>
    <cfRule type="top10" priority="55" stopIfTrue="1" rank="10"/>
    <cfRule type="top10" priority="179" stopIfTrue="1" rank="10"/>
  </conditionalFormatting>
  <conditionalFormatting sqref="I8:I10">
    <cfRule type="top10" priority="6" stopIfTrue="1" rank="10"/>
  </conditionalFormatting>
  <conditionalFormatting sqref="I8:I12">
    <cfRule type="top10" priority="14" stopIfTrue="1" rank="10"/>
  </conditionalFormatting>
  <conditionalFormatting sqref="I13:I14">
    <cfRule type="top10" priority="5" stopIfTrue="1" rank="10"/>
  </conditionalFormatting>
  <conditionalFormatting sqref="I20:I31">
    <cfRule type="top10" priority="7" stopIfTrue="1" rank="10"/>
  </conditionalFormatting>
  <conditionalFormatting sqref="I21:I32">
    <cfRule type="top10" priority="10" stopIfTrue="1" rank="10"/>
  </conditionalFormatting>
  <conditionalFormatting sqref="I23:I34">
    <cfRule type="top10" priority="13" stopIfTrue="1" rank="10"/>
  </conditionalFormatting>
  <conditionalFormatting sqref="I32:I34 I11:I19">
    <cfRule type="top10" priority="9" stopIfTrue="1" rank="10"/>
  </conditionalFormatting>
  <conditionalFormatting sqref="I33:I35 I11:I20">
    <cfRule type="top10" priority="12" stopIfTrue="1" rank="10"/>
  </conditionalFormatting>
  <conditionalFormatting sqref="I35:I37 I13:I22">
    <cfRule type="top10" priority="15" stopIfTrue="1" rank="10"/>
  </conditionalFormatting>
  <conditionalFormatting sqref="I35:I38">
    <cfRule type="top10" priority="8" stopIfTrue="1" rank="10"/>
  </conditionalFormatting>
  <conditionalFormatting sqref="I36:I38">
    <cfRule type="top10" priority="11" stopIfTrue="1" rank="10"/>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D87"/>
  <sheetViews>
    <sheetView tabSelected="1" zoomScale="140" zoomScaleNormal="140" workbookViewId="0">
      <pane xSplit="9" ySplit="3" topLeftCell="J4" activePane="bottomRight" state="frozen"/>
      <selection pane="bottomLeft" activeCell="A4" sqref="A4"/>
      <selection pane="topRight" activeCell="J1" sqref="J1"/>
      <selection pane="bottomRight" activeCell="E7" sqref="E7"/>
    </sheetView>
  </sheetViews>
  <sheetFormatPr defaultColWidth="9.14453125" defaultRowHeight="15" x14ac:dyDescent="0.2"/>
  <cols>
    <col min="1" max="1" width="29.99609375" customWidth="1"/>
    <col min="2" max="2" width="2.28515625" customWidth="1"/>
    <col min="3" max="8" width="7.80078125" customWidth="1"/>
    <col min="9" max="9" width="9.28125" bestFit="1" customWidth="1"/>
    <col min="10" max="11" width="9.14453125" style="96"/>
    <col min="12" max="12" width="6.859375" style="96" customWidth="1"/>
    <col min="13" max="13" width="6.45703125" style="96" customWidth="1"/>
    <col min="14" max="19" width="4.4375" style="96" customWidth="1"/>
    <col min="20" max="21" width="5.37890625" style="96" customWidth="1"/>
    <col min="22" max="29" width="4.4375" style="96" customWidth="1"/>
    <col min="30" max="30" width="5.109375" style="96" customWidth="1"/>
    <col min="31" max="35" width="4.4375" style="96" customWidth="1"/>
    <col min="36" max="36" width="5.24609375" style="96" customWidth="1"/>
    <col min="37" max="46" width="4.4375" style="96" customWidth="1"/>
    <col min="47" max="47" width="9.14453125" style="96"/>
    <col min="48" max="48" width="7.12890625" style="96" customWidth="1"/>
    <col min="49" max="51" width="9.14453125" style="96"/>
    <col min="52" max="52" width="7.12890625" style="96" customWidth="1"/>
    <col min="53" max="53" width="8.47265625" style="96" customWidth="1"/>
    <col min="54" max="16384" width="9.14453125" style="96"/>
  </cols>
  <sheetData>
    <row r="1" spans="1:43" ht="18" customHeight="1" x14ac:dyDescent="0.2">
      <c r="D1" s="67"/>
      <c r="E1" s="67"/>
      <c r="F1" s="67"/>
      <c r="G1" s="67"/>
      <c r="I1" s="39"/>
      <c r="J1" s="219" t="s">
        <v>87</v>
      </c>
      <c r="K1" s="222" t="s">
        <v>97</v>
      </c>
      <c r="L1" s="219" t="s">
        <v>2</v>
      </c>
      <c r="M1" s="93" t="s">
        <v>4</v>
      </c>
      <c r="N1" s="94"/>
      <c r="O1" s="95"/>
      <c r="P1" s="93" t="s">
        <v>18</v>
      </c>
      <c r="Q1" s="94"/>
      <c r="R1" s="94"/>
      <c r="S1" s="94"/>
      <c r="T1" s="94"/>
      <c r="U1" s="94"/>
      <c r="V1" s="94"/>
      <c r="W1" s="94"/>
      <c r="X1" s="95"/>
      <c r="Y1" s="93" t="s">
        <v>3</v>
      </c>
      <c r="Z1" s="94"/>
      <c r="AA1" s="94"/>
      <c r="AB1" s="94"/>
      <c r="AC1" s="94"/>
      <c r="AD1" s="94"/>
      <c r="AE1" s="94"/>
      <c r="AF1" s="94"/>
      <c r="AG1" s="94"/>
      <c r="AH1" s="94"/>
      <c r="AI1" s="94"/>
      <c r="AJ1" s="94"/>
      <c r="AK1" s="94"/>
      <c r="AL1" s="94"/>
      <c r="AM1" s="94"/>
      <c r="AN1" s="94"/>
      <c r="AO1" s="94"/>
      <c r="AP1" s="94"/>
      <c r="AQ1" s="95"/>
    </row>
    <row r="2" spans="1:43" ht="13.5" customHeight="1" x14ac:dyDescent="0.2">
      <c r="D2" s="67"/>
      <c r="E2" s="67"/>
      <c r="F2" s="67"/>
      <c r="G2" s="67"/>
      <c r="I2" s="53"/>
      <c r="J2" s="220"/>
      <c r="K2" s="223"/>
      <c r="L2" s="220"/>
      <c r="M2" s="97">
        <v>2</v>
      </c>
      <c r="N2" s="97">
        <v>3</v>
      </c>
      <c r="O2" s="97">
        <v>4</v>
      </c>
      <c r="P2" s="97">
        <v>5</v>
      </c>
      <c r="Q2" s="97">
        <v>6</v>
      </c>
      <c r="R2" s="97">
        <v>7</v>
      </c>
      <c r="S2" s="97">
        <v>8</v>
      </c>
      <c r="T2" s="97">
        <v>9</v>
      </c>
      <c r="U2" s="97">
        <v>10</v>
      </c>
      <c r="V2" s="97">
        <v>11</v>
      </c>
      <c r="W2" s="97">
        <v>12</v>
      </c>
      <c r="X2" s="97">
        <v>13</v>
      </c>
      <c r="Y2" s="97">
        <v>14</v>
      </c>
      <c r="Z2" s="97">
        <v>15</v>
      </c>
      <c r="AA2" s="97">
        <v>16</v>
      </c>
      <c r="AB2" s="97">
        <v>17</v>
      </c>
      <c r="AC2" s="97">
        <v>18</v>
      </c>
      <c r="AD2" s="97">
        <v>19</v>
      </c>
      <c r="AE2" s="97">
        <v>20</v>
      </c>
      <c r="AF2" s="97">
        <v>21</v>
      </c>
      <c r="AG2" s="97">
        <v>22</v>
      </c>
      <c r="AH2" s="97">
        <v>23</v>
      </c>
      <c r="AI2" s="97">
        <v>24</v>
      </c>
      <c r="AJ2" s="97">
        <v>25</v>
      </c>
      <c r="AK2" s="97">
        <v>26</v>
      </c>
      <c r="AL2" s="97">
        <v>27</v>
      </c>
      <c r="AM2" s="97">
        <v>28</v>
      </c>
      <c r="AN2" s="97">
        <v>29</v>
      </c>
      <c r="AO2" s="97">
        <v>30</v>
      </c>
      <c r="AP2" s="97">
        <v>31</v>
      </c>
      <c r="AQ2" s="97">
        <v>32</v>
      </c>
    </row>
    <row r="3" spans="1:43" ht="18.75" customHeight="1" x14ac:dyDescent="0.25">
      <c r="A3" s="38" t="s">
        <v>70</v>
      </c>
      <c r="B3" s="38"/>
      <c r="C3" s="38"/>
      <c r="D3" s="81"/>
      <c r="E3" s="81"/>
      <c r="F3" s="81"/>
      <c r="G3" s="81"/>
      <c r="H3" s="38"/>
      <c r="I3" s="39"/>
      <c r="J3" s="98">
        <v>1</v>
      </c>
      <c r="K3" s="99" t="s">
        <v>89</v>
      </c>
      <c r="L3" s="98">
        <f>VLOOKUP(J3,BlankoSertifikat!A:D,4,0)</f>
        <v>115</v>
      </c>
      <c r="M3" s="98">
        <f>VLOOKUP(J3,BlankoSertifikat!A:E,5,0)</f>
        <v>35</v>
      </c>
      <c r="N3" s="98">
        <f>VLOOKUP(J3,BlankoSertifikat!A:F,6,0)</f>
        <v>35</v>
      </c>
      <c r="O3" s="98">
        <f>VLOOKUP(J3,BlankoSertifikat!A:G,7,0)</f>
        <v>35</v>
      </c>
      <c r="P3" s="98">
        <f>VLOOKUP(J3,BlankoSertifikat!A:H,8,0)</f>
        <v>7</v>
      </c>
      <c r="Q3" s="100">
        <f>VLOOKUP(J3,BlankoSertifikat!A:I,9,0)</f>
        <v>11</v>
      </c>
      <c r="R3" s="100">
        <f>VLOOKUP(J3,BlankoSertifikat!A:J,10,0)</f>
        <v>12</v>
      </c>
      <c r="S3" s="100">
        <f>VLOOKUP(J3,BlankoSertifikat!A:K,11,0)</f>
        <v>15</v>
      </c>
      <c r="T3" s="100">
        <f>VLOOKUP(J3,BlankoSertifikat!A:L,12,0)</f>
        <v>12</v>
      </c>
      <c r="U3" s="100">
        <f>VLOOKUP(J3,BlankoSertifikat!A:M,13,0)</f>
        <v>9</v>
      </c>
      <c r="V3" s="100">
        <f>VLOOKUP(J3,BlankoSertifikat!A:P,14,0)</f>
        <v>16</v>
      </c>
      <c r="W3" s="100">
        <f>VLOOKUP(J3,BlankoSertifikat!A:O,15,0)</f>
        <v>12</v>
      </c>
      <c r="X3" s="100">
        <f>VLOOKUP(J3,BlankoSertifikat!A:P,16,0)</f>
        <v>13</v>
      </c>
      <c r="Y3" s="100">
        <f>VLOOKUP(J3,BlankoSertifikat!A:Q,17,0)</f>
        <v>10</v>
      </c>
      <c r="Z3" s="100">
        <f>VLOOKUP(J3,BlankoSertifikat!A:R,18,0)</f>
        <v>16</v>
      </c>
      <c r="AA3" s="100">
        <f>VLOOKUP(J3,BlankoSertifikat!A:S,19,0)</f>
        <v>9</v>
      </c>
      <c r="AB3" s="100">
        <f>VLOOKUP(J3,BlankoSertifikat!A:T,20,0)</f>
        <v>14</v>
      </c>
      <c r="AC3" s="100">
        <f>VLOOKUP(J3,BlankoSertifikat!A:U,21,0)</f>
        <v>17</v>
      </c>
      <c r="AD3" s="100">
        <f>VLOOKUP(J3,BlankoSertifikat!A:V,22,0)</f>
        <v>11</v>
      </c>
      <c r="AE3" s="100">
        <f>VLOOKUP(J3,BlankoSertifikat!A:X,23,0)</f>
        <v>16</v>
      </c>
      <c r="AF3" s="100">
        <f>VLOOKUP(J3,BlankoSertifikat!A:X,24,0)</f>
        <v>0</v>
      </c>
      <c r="AG3" s="100">
        <f>VLOOKUP(J3,BlankoSertifikat!A:Y,25,0)</f>
        <v>0</v>
      </c>
      <c r="AH3" s="100">
        <f>VLOOKUP(J3,BlankoSertifikat!A:Z,26,0)</f>
        <v>0</v>
      </c>
      <c r="AI3" s="100">
        <f>VLOOKUP(J3,BlankoSertifikat!A:AA,27,0)</f>
        <v>0</v>
      </c>
      <c r="AJ3" s="100">
        <f>VLOOKUP(J3,BlankoSertifikat!A:AB,28,0)</f>
        <v>0</v>
      </c>
      <c r="AK3" s="100">
        <f>VLOOKUP(J3,BlankoSertifikat!A:AD,29,0)</f>
        <v>0</v>
      </c>
      <c r="AL3" s="100">
        <f>VLOOKUP(J3,BlankoSertifikat!A:AD,30,0)</f>
        <v>0</v>
      </c>
      <c r="AM3" s="100">
        <f>VLOOKUP(J3,BlankoSertifikat!A:AE,31,0)</f>
        <v>0</v>
      </c>
      <c r="AN3" s="100">
        <f>VLOOKUP(J3,BlankoSertifikat!A:AF,32,0)</f>
        <v>0</v>
      </c>
      <c r="AO3" s="100">
        <f>VLOOKUP(J3,BlankoSertifikat!A:AG,33,0)</f>
        <v>0</v>
      </c>
      <c r="AP3" s="100">
        <f>VLOOKUP(J3,BlankoSertifikat!A:AH,34,0)</f>
        <v>0</v>
      </c>
      <c r="AQ3" s="100">
        <f>VLOOKUP(J3,BlankoSertifikat!A:AI,35,0)</f>
        <v>0</v>
      </c>
    </row>
    <row r="4" spans="1:43" ht="18.75" customHeight="1" x14ac:dyDescent="0.25">
      <c r="A4" s="38"/>
      <c r="B4" s="38"/>
      <c r="C4" s="38"/>
      <c r="D4" s="81"/>
      <c r="E4" s="81"/>
      <c r="F4" s="81"/>
      <c r="G4" s="81"/>
      <c r="H4" s="38"/>
      <c r="I4" s="39"/>
      <c r="J4" s="101"/>
      <c r="K4" s="101"/>
      <c r="L4" s="101"/>
      <c r="M4" s="101"/>
      <c r="N4" s="101"/>
      <c r="O4" s="101"/>
      <c r="P4" s="101"/>
      <c r="Q4" s="102"/>
      <c r="R4" s="102"/>
      <c r="S4" s="102"/>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row>
    <row r="5" spans="1:43" ht="18.75" customHeight="1" x14ac:dyDescent="0.25">
      <c r="A5" s="38"/>
      <c r="B5" s="38"/>
      <c r="C5" s="38"/>
      <c r="D5" s="81"/>
      <c r="E5" s="81"/>
      <c r="F5" s="81"/>
      <c r="G5" s="81"/>
      <c r="H5" s="38"/>
      <c r="I5" s="39"/>
      <c r="J5" s="101"/>
      <c r="K5" s="101"/>
      <c r="L5" s="101"/>
      <c r="M5" s="101"/>
      <c r="N5" s="101"/>
      <c r="O5" s="101"/>
      <c r="P5" s="101"/>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row>
    <row r="6" spans="1:43" ht="18.75" customHeight="1" x14ac:dyDescent="0.25">
      <c r="A6" s="38"/>
      <c r="B6" s="38"/>
      <c r="C6" s="38"/>
      <c r="D6" s="81"/>
      <c r="E6" s="81"/>
      <c r="F6" s="81"/>
      <c r="G6" s="81"/>
      <c r="H6" s="38"/>
      <c r="I6" s="39"/>
      <c r="J6" s="101"/>
      <c r="K6" s="101"/>
      <c r="L6" s="101"/>
      <c r="M6" s="101"/>
      <c r="N6" s="101"/>
      <c r="O6" s="101"/>
      <c r="P6" s="101"/>
      <c r="Q6" s="102"/>
      <c r="R6" s="102"/>
      <c r="S6" s="102"/>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row>
    <row r="7" spans="1:43" ht="18.75" customHeight="1" x14ac:dyDescent="0.25">
      <c r="A7" s="38"/>
      <c r="B7" s="38"/>
      <c r="C7" s="38"/>
      <c r="D7" s="81"/>
      <c r="E7" s="81"/>
      <c r="F7" s="81"/>
      <c r="G7" s="81"/>
      <c r="H7" s="38"/>
      <c r="I7" s="39"/>
      <c r="J7" s="101"/>
      <c r="K7" s="101"/>
      <c r="L7" s="101"/>
      <c r="M7" s="101"/>
      <c r="N7" s="101"/>
      <c r="O7" s="101"/>
      <c r="P7" s="101"/>
      <c r="Q7" s="102"/>
      <c r="R7" s="102"/>
      <c r="S7" s="102"/>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row>
    <row r="8" spans="1:43" ht="18.75" customHeight="1" x14ac:dyDescent="0.25">
      <c r="A8" s="38"/>
      <c r="B8" s="38"/>
      <c r="C8" s="38"/>
      <c r="D8" s="81"/>
      <c r="E8" s="81"/>
      <c r="F8" s="81"/>
      <c r="G8" s="81"/>
      <c r="H8" s="39"/>
      <c r="I8" s="53"/>
      <c r="J8" s="101"/>
      <c r="K8" s="101"/>
      <c r="L8" s="101"/>
      <c r="M8" s="101"/>
      <c r="N8" s="101"/>
      <c r="O8" s="101"/>
      <c r="P8" s="101"/>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row>
    <row r="9" spans="1:43" ht="18.75" customHeight="1" x14ac:dyDescent="0.25">
      <c r="A9" s="38"/>
      <c r="B9" s="38"/>
      <c r="C9" s="38"/>
      <c r="D9" s="81"/>
      <c r="E9" s="81"/>
      <c r="F9" s="81"/>
      <c r="G9" s="81"/>
      <c r="H9" s="39"/>
      <c r="I9" s="53"/>
      <c r="J9" s="101"/>
      <c r="K9" s="101"/>
      <c r="L9" s="101"/>
      <c r="M9" s="101"/>
      <c r="N9" s="101"/>
      <c r="O9" s="101"/>
      <c r="P9" s="101"/>
      <c r="Q9" s="102"/>
      <c r="R9" s="102"/>
      <c r="S9" s="102"/>
      <c r="T9" s="102"/>
      <c r="U9" s="102"/>
      <c r="V9" s="102"/>
      <c r="W9" s="102"/>
      <c r="X9" s="102"/>
      <c r="Y9" s="102"/>
      <c r="Z9" s="102"/>
      <c r="AA9" s="102"/>
      <c r="AB9" s="102"/>
      <c r="AC9" s="102"/>
      <c r="AD9" s="102"/>
      <c r="AE9" s="102"/>
      <c r="AF9" s="102"/>
      <c r="AG9" s="102"/>
      <c r="AH9" s="102"/>
      <c r="AI9" s="102"/>
      <c r="AJ9" s="102"/>
      <c r="AK9" s="102"/>
      <c r="AL9" s="102"/>
      <c r="AM9" s="102"/>
      <c r="AN9" s="102"/>
      <c r="AO9" s="102"/>
      <c r="AP9" s="102"/>
      <c r="AQ9" s="102"/>
    </row>
    <row r="10" spans="1:43" ht="15.75" customHeight="1" x14ac:dyDescent="0.25">
      <c r="A10" s="38"/>
      <c r="B10" s="38"/>
      <c r="C10" s="38"/>
      <c r="D10" s="81"/>
      <c r="E10" s="81"/>
      <c r="F10" s="81"/>
      <c r="G10" s="81"/>
      <c r="H10" s="38"/>
      <c r="I10" s="53"/>
      <c r="J10" s="101"/>
      <c r="K10" s="101"/>
      <c r="L10" s="101"/>
      <c r="M10" s="101"/>
      <c r="N10" s="101"/>
      <c r="O10" s="101"/>
      <c r="P10" s="101"/>
      <c r="Q10" s="102"/>
      <c r="R10" s="102"/>
      <c r="S10" s="102"/>
      <c r="T10" s="102"/>
      <c r="U10" s="102"/>
      <c r="V10" s="102"/>
      <c r="W10" s="102"/>
      <c r="X10" s="102"/>
      <c r="Y10" s="102"/>
      <c r="Z10" s="102"/>
      <c r="AA10" s="102"/>
      <c r="AB10" s="102"/>
      <c r="AC10" s="102"/>
      <c r="AD10" s="102"/>
      <c r="AE10" s="102"/>
      <c r="AF10" s="102"/>
      <c r="AG10" s="102"/>
      <c r="AH10" s="102"/>
      <c r="AI10" s="102"/>
      <c r="AJ10" s="102"/>
      <c r="AK10" s="102"/>
      <c r="AL10" s="102"/>
      <c r="AM10" s="102"/>
      <c r="AN10" s="102"/>
      <c r="AO10" s="102"/>
      <c r="AP10" s="102"/>
      <c r="AQ10" s="102"/>
    </row>
    <row r="11" spans="1:43" ht="25.5" x14ac:dyDescent="0.3">
      <c r="A11" s="217" t="s">
        <v>80</v>
      </c>
      <c r="B11" s="217"/>
      <c r="C11" s="217"/>
      <c r="D11" s="217"/>
      <c r="E11" s="217"/>
      <c r="F11" s="217"/>
      <c r="G11" s="217"/>
      <c r="H11" s="217"/>
      <c r="I11" s="217"/>
    </row>
    <row r="12" spans="1:43" ht="9" customHeight="1" thickBot="1" x14ac:dyDescent="0.25">
      <c r="D12" s="67"/>
      <c r="E12" s="67"/>
      <c r="F12" s="67"/>
      <c r="G12" s="67"/>
    </row>
    <row r="13" spans="1:43" ht="18" customHeight="1" thickBot="1" x14ac:dyDescent="0.25">
      <c r="A13" s="44" t="s">
        <v>93</v>
      </c>
      <c r="B13" s="56" t="s">
        <v>92</v>
      </c>
      <c r="C13" s="44" t="str">
        <f>VLOOKUP(J3,BlankoSertifikat!A:B,2,0)</f>
        <v>AHMAD FARIZQI RIDWAN</v>
      </c>
      <c r="D13" s="82"/>
      <c r="E13" s="82"/>
      <c r="F13" s="83"/>
      <c r="G13" s="84"/>
      <c r="H13" s="58"/>
      <c r="I13" s="45"/>
      <c r="J13" s="103"/>
      <c r="K13" s="103"/>
      <c r="L13" s="207" t="s">
        <v>114</v>
      </c>
      <c r="M13" s="208"/>
      <c r="N13" s="208"/>
      <c r="O13" s="208"/>
      <c r="P13" s="208"/>
      <c r="Q13" s="208"/>
      <c r="R13" s="208"/>
      <c r="S13" s="208"/>
      <c r="T13" s="208"/>
      <c r="U13" s="209"/>
      <c r="W13" s="207" t="s">
        <v>115</v>
      </c>
      <c r="X13" s="208"/>
      <c r="Y13" s="208"/>
      <c r="Z13" s="208"/>
      <c r="AA13" s="208"/>
      <c r="AB13" s="208"/>
      <c r="AC13" s="208"/>
      <c r="AD13" s="208"/>
      <c r="AE13" s="208"/>
      <c r="AF13" s="208"/>
      <c r="AG13" s="209"/>
    </row>
    <row r="14" spans="1:43" ht="18" customHeight="1" x14ac:dyDescent="0.2">
      <c r="A14" s="46" t="s">
        <v>94</v>
      </c>
      <c r="B14" s="55" t="s">
        <v>92</v>
      </c>
      <c r="C14" s="46" t="s">
        <v>423</v>
      </c>
      <c r="D14" s="85"/>
      <c r="E14" s="85"/>
      <c r="F14" s="67"/>
      <c r="G14" s="85" t="s">
        <v>86</v>
      </c>
      <c r="I14" s="164">
        <f>BlankoSertifikat!B5</f>
        <v>45283</v>
      </c>
      <c r="L14" s="104" t="s">
        <v>125</v>
      </c>
      <c r="M14" s="105"/>
      <c r="N14" s="105"/>
      <c r="O14" s="105"/>
      <c r="P14" s="105"/>
      <c r="Q14" s="105"/>
      <c r="R14" s="105"/>
      <c r="S14" s="105"/>
      <c r="T14" s="105"/>
      <c r="U14" s="106"/>
      <c r="W14" s="104" t="s">
        <v>118</v>
      </c>
      <c r="X14" s="105"/>
      <c r="Y14" s="105"/>
      <c r="Z14" s="105"/>
      <c r="AA14" s="105"/>
      <c r="AB14" s="105"/>
      <c r="AC14" s="105"/>
      <c r="AD14" s="105"/>
      <c r="AE14" s="105"/>
      <c r="AF14" s="105"/>
      <c r="AG14" s="106"/>
      <c r="AH14" s="96" t="s">
        <v>119</v>
      </c>
    </row>
    <row r="15" spans="1:43" ht="18" customHeight="1" x14ac:dyDescent="0.2">
      <c r="A15" s="54" t="s">
        <v>96</v>
      </c>
      <c r="B15" s="57" t="s">
        <v>92</v>
      </c>
      <c r="C15" s="218" t="s">
        <v>421</v>
      </c>
      <c r="D15" s="218"/>
      <c r="E15" s="218"/>
      <c r="F15" s="218"/>
      <c r="G15" s="218"/>
      <c r="H15" s="218"/>
      <c r="I15" s="218"/>
      <c r="L15" s="107" t="s">
        <v>126</v>
      </c>
      <c r="M15" s="108"/>
      <c r="N15" s="108"/>
      <c r="O15" s="108"/>
      <c r="P15" s="108"/>
      <c r="Q15" s="108"/>
      <c r="R15" s="108"/>
      <c r="S15" s="108"/>
      <c r="T15" s="108"/>
      <c r="U15" s="109"/>
      <c r="W15" s="107" t="s">
        <v>120</v>
      </c>
      <c r="X15" s="108"/>
      <c r="Y15" s="108"/>
      <c r="Z15" s="108"/>
      <c r="AA15" s="108"/>
      <c r="AB15" s="108"/>
      <c r="AC15" s="108"/>
      <c r="AD15" s="108"/>
      <c r="AE15" s="108"/>
      <c r="AF15" s="108"/>
      <c r="AG15" s="109"/>
      <c r="AH15" s="96" t="s">
        <v>121</v>
      </c>
    </row>
    <row r="16" spans="1:43" ht="16.5" thickBot="1" x14ac:dyDescent="0.25">
      <c r="A16" s="46"/>
      <c r="B16" s="55"/>
      <c r="C16" s="47"/>
      <c r="D16" s="86"/>
      <c r="E16" s="86"/>
      <c r="F16" s="86"/>
      <c r="G16" s="86"/>
      <c r="H16" s="47"/>
      <c r="I16" s="47"/>
      <c r="L16" s="107" t="s">
        <v>124</v>
      </c>
      <c r="M16" s="108"/>
      <c r="N16" s="108"/>
      <c r="O16" s="108"/>
      <c r="P16" s="108"/>
      <c r="Q16" s="108"/>
      <c r="R16" s="108"/>
      <c r="S16" s="108"/>
      <c r="T16" s="108"/>
      <c r="U16" s="109"/>
      <c r="W16" s="107" t="s">
        <v>122</v>
      </c>
      <c r="X16" s="108"/>
      <c r="Y16" s="108"/>
      <c r="Z16" s="108"/>
      <c r="AA16" s="108"/>
      <c r="AB16" s="108"/>
      <c r="AC16" s="108"/>
      <c r="AD16" s="108"/>
      <c r="AE16" s="108"/>
      <c r="AF16" s="108"/>
      <c r="AG16" s="109"/>
      <c r="AH16" s="96" t="s">
        <v>123</v>
      </c>
    </row>
    <row r="17" spans="1:56" ht="25.5" customHeight="1" thickTop="1" thickBot="1" x14ac:dyDescent="0.2">
      <c r="A17" s="48" t="s">
        <v>95</v>
      </c>
      <c r="B17" s="55" t="s">
        <v>92</v>
      </c>
      <c r="C17" s="64" t="s">
        <v>90</v>
      </c>
      <c r="D17" s="65"/>
      <c r="E17" s="59" t="s">
        <v>2</v>
      </c>
      <c r="F17" s="59"/>
      <c r="G17" s="60" t="s">
        <v>39</v>
      </c>
      <c r="H17" s="68"/>
      <c r="I17" s="69"/>
      <c r="L17" s="107" t="s">
        <v>124</v>
      </c>
      <c r="M17" s="108"/>
      <c r="N17" s="108"/>
      <c r="O17" s="108"/>
      <c r="P17" s="108"/>
      <c r="Q17" s="108"/>
      <c r="R17" s="108"/>
      <c r="S17" s="108"/>
      <c r="T17" s="108"/>
      <c r="U17" s="109"/>
      <c r="W17" s="210" t="s">
        <v>98</v>
      </c>
      <c r="X17" s="211"/>
      <c r="Y17" s="211"/>
      <c r="Z17" s="211"/>
      <c r="AA17" s="211"/>
      <c r="AB17" s="211"/>
      <c r="AC17" s="211"/>
      <c r="AD17" s="211"/>
      <c r="AE17" s="211"/>
      <c r="AF17" s="211"/>
      <c r="AG17" s="109"/>
      <c r="AH17" s="96" t="s">
        <v>119</v>
      </c>
    </row>
    <row r="18" spans="1:56" ht="25.5" customHeight="1" thickTop="1" thickBot="1" x14ac:dyDescent="0.2">
      <c r="A18" s="49"/>
      <c r="B18" s="49"/>
      <c r="C18" s="61" t="s">
        <v>91</v>
      </c>
      <c r="D18" s="62"/>
      <c r="E18" s="63">
        <f>L3</f>
        <v>115</v>
      </c>
      <c r="F18" s="61"/>
      <c r="G18" s="61" t="str">
        <f>IF(E18&gt;=170,"Genius",IF(E18&gt;=140,"Sangat Superior",IF(E18&gt;=120,"Superior",IF(E18&gt;=110,"Di atas rata-rata",IF(E18&gt;=90,"Rata-rata",IF(E18&gt;=80,"Di bawah rata-rata",IF(E18&gt;=70,"BEXHerline",IF(E18&gt;=30,"Defektif secara mental","Tidak terklasifikasi"))))))))</f>
        <v>Di atas rata-rata</v>
      </c>
      <c r="H18" s="62"/>
      <c r="I18" s="70"/>
      <c r="L18" s="107" t="s">
        <v>248</v>
      </c>
      <c r="M18" s="108"/>
      <c r="N18" s="108"/>
      <c r="O18" s="108"/>
      <c r="P18" s="108"/>
      <c r="Q18" s="108"/>
      <c r="R18" s="108"/>
      <c r="S18" s="108"/>
      <c r="T18" s="108"/>
      <c r="U18" s="109"/>
      <c r="W18" s="210" t="s">
        <v>99</v>
      </c>
      <c r="X18" s="211"/>
      <c r="Y18" s="211"/>
      <c r="Z18" s="211"/>
      <c r="AA18" s="211"/>
      <c r="AB18" s="211"/>
      <c r="AC18" s="211"/>
      <c r="AD18" s="211"/>
      <c r="AE18" s="211"/>
      <c r="AF18" s="211"/>
      <c r="AG18" s="109"/>
      <c r="AH18" s="96" t="s">
        <v>121</v>
      </c>
    </row>
    <row r="19" spans="1:56" ht="13.5" customHeight="1" thickTop="1" x14ac:dyDescent="0.2">
      <c r="C19" s="40"/>
      <c r="D19" s="87"/>
      <c r="E19" s="87"/>
      <c r="F19" s="87"/>
      <c r="G19" s="87"/>
      <c r="H19" s="40"/>
      <c r="I19" s="40"/>
      <c r="L19" s="107" t="s">
        <v>249</v>
      </c>
      <c r="M19" s="108"/>
      <c r="N19" s="108"/>
      <c r="O19" s="108"/>
      <c r="P19" s="108"/>
      <c r="Q19" s="108"/>
      <c r="R19" s="108"/>
      <c r="S19" s="108"/>
      <c r="T19" s="108"/>
      <c r="U19" s="109"/>
      <c r="W19" s="210" t="s">
        <v>100</v>
      </c>
      <c r="X19" s="211"/>
      <c r="Y19" s="211"/>
      <c r="Z19" s="211"/>
      <c r="AA19" s="211"/>
      <c r="AB19" s="211"/>
      <c r="AC19" s="211"/>
      <c r="AD19" s="211"/>
      <c r="AE19" s="211"/>
      <c r="AF19" s="211"/>
      <c r="AG19" s="109"/>
      <c r="AH19" s="96" t="s">
        <v>123</v>
      </c>
    </row>
    <row r="20" spans="1:56" ht="24" customHeight="1" x14ac:dyDescent="0.15">
      <c r="A20" s="221" t="s">
        <v>71</v>
      </c>
      <c r="B20" s="221"/>
      <c r="C20" s="41" t="s">
        <v>72</v>
      </c>
      <c r="D20" s="41"/>
      <c r="E20" s="41"/>
      <c r="F20" s="41"/>
      <c r="G20" s="41"/>
      <c r="H20" s="41"/>
      <c r="I20" s="42"/>
      <c r="J20" s="110"/>
      <c r="L20" s="107" t="s">
        <v>250</v>
      </c>
      <c r="M20" s="108"/>
      <c r="N20" s="108"/>
      <c r="O20" s="108"/>
      <c r="P20" s="108"/>
      <c r="Q20" s="108"/>
      <c r="R20" s="108"/>
      <c r="S20" s="108"/>
      <c r="T20" s="108"/>
      <c r="U20" s="109"/>
      <c r="W20" s="210" t="s">
        <v>101</v>
      </c>
      <c r="X20" s="211"/>
      <c r="Y20" s="211"/>
      <c r="Z20" s="211"/>
      <c r="AA20" s="211"/>
      <c r="AB20" s="211"/>
      <c r="AC20" s="211"/>
      <c r="AD20" s="211"/>
      <c r="AE20" s="211"/>
      <c r="AF20" s="211"/>
      <c r="AG20" s="109"/>
      <c r="AH20" s="96" t="s">
        <v>119</v>
      </c>
    </row>
    <row r="21" spans="1:56" ht="21" customHeight="1" x14ac:dyDescent="0.15">
      <c r="A21" s="221"/>
      <c r="B21" s="221"/>
      <c r="C21" s="50" t="s">
        <v>73</v>
      </c>
      <c r="D21" s="43" t="s">
        <v>74</v>
      </c>
      <c r="E21" s="43" t="s">
        <v>75</v>
      </c>
      <c r="F21" s="43" t="s">
        <v>76</v>
      </c>
      <c r="G21" s="43" t="s">
        <v>77</v>
      </c>
      <c r="H21" s="43" t="s">
        <v>78</v>
      </c>
      <c r="I21" s="43" t="s">
        <v>79</v>
      </c>
      <c r="J21" s="110"/>
      <c r="L21" s="210" t="s">
        <v>251</v>
      </c>
      <c r="M21" s="211"/>
      <c r="N21" s="211"/>
      <c r="O21" s="211"/>
      <c r="P21" s="211"/>
      <c r="Q21" s="211"/>
      <c r="R21" s="211"/>
      <c r="S21" s="211"/>
      <c r="T21" s="211"/>
      <c r="U21" s="216"/>
      <c r="W21" s="210" t="s">
        <v>102</v>
      </c>
      <c r="X21" s="211"/>
      <c r="Y21" s="211"/>
      <c r="Z21" s="211"/>
      <c r="AA21" s="211"/>
      <c r="AB21" s="211"/>
      <c r="AC21" s="211"/>
      <c r="AD21" s="211"/>
      <c r="AE21" s="211"/>
      <c r="AF21" s="211"/>
      <c r="AG21" s="109"/>
      <c r="AH21" s="96" t="s">
        <v>121</v>
      </c>
    </row>
    <row r="22" spans="1:56" ht="20.100000000000001" customHeight="1" thickBot="1" x14ac:dyDescent="0.2">
      <c r="A22" s="224" t="s">
        <v>83</v>
      </c>
      <c r="B22" s="225"/>
      <c r="C22" s="66"/>
      <c r="D22" s="66" t="str">
        <f>IF(AND(M3&gt;=35,M3&lt;=64), K3," ")</f>
        <v>ü</v>
      </c>
      <c r="E22" s="66"/>
      <c r="F22" s="66" t="str">
        <f>IF(AND(M3&gt;=65,M3&lt;=79), K3," ")</f>
        <v xml:space="preserve"> </v>
      </c>
      <c r="G22" s="66" t="str">
        <f>IF(AND(M3&gt;=80,M3&lt;=100), K3," ")</f>
        <v xml:space="preserve"> </v>
      </c>
      <c r="H22" s="66" t="str">
        <f>IF(AND(M2&gt;=65,M2&lt;=79), K3," ")</f>
        <v xml:space="preserve"> </v>
      </c>
      <c r="I22" s="66"/>
      <c r="J22" s="110">
        <v>1</v>
      </c>
      <c r="L22" s="210" t="s">
        <v>252</v>
      </c>
      <c r="M22" s="211"/>
      <c r="N22" s="211"/>
      <c r="O22" s="211"/>
      <c r="P22" s="211"/>
      <c r="Q22" s="211"/>
      <c r="R22" s="211"/>
      <c r="S22" s="211"/>
      <c r="T22" s="211"/>
      <c r="U22" s="216"/>
      <c r="W22" s="214" t="s">
        <v>103</v>
      </c>
      <c r="X22" s="215"/>
      <c r="Y22" s="215"/>
      <c r="Z22" s="215"/>
      <c r="AA22" s="215"/>
      <c r="AB22" s="215"/>
      <c r="AC22" s="215"/>
      <c r="AD22" s="215"/>
      <c r="AE22" s="215"/>
      <c r="AF22" s="215"/>
      <c r="AG22" s="111"/>
      <c r="AH22" s="96" t="s">
        <v>123</v>
      </c>
    </row>
    <row r="23" spans="1:56" ht="20.100000000000001" customHeight="1" thickBot="1" x14ac:dyDescent="0.2">
      <c r="A23" s="224" t="s">
        <v>84</v>
      </c>
      <c r="B23" s="225"/>
      <c r="C23" s="66"/>
      <c r="D23" s="66" t="str">
        <f>IF(AND(N3&gt;=35,N3&lt;=64), K3," ")</f>
        <v>ü</v>
      </c>
      <c r="E23" s="66"/>
      <c r="F23" s="66" t="str">
        <f>IF(AND(N3&gt;=65,N3&lt;=79), K3," ")</f>
        <v xml:space="preserve"> </v>
      </c>
      <c r="G23" s="66" t="str">
        <f>IF(AND(N3&gt;=80,N3&lt;=100), K3," ")</f>
        <v xml:space="preserve"> </v>
      </c>
      <c r="H23" s="66"/>
      <c r="I23" s="66"/>
      <c r="J23" s="110">
        <v>2</v>
      </c>
      <c r="L23" s="210" t="s">
        <v>253</v>
      </c>
      <c r="M23" s="211"/>
      <c r="N23" s="211"/>
      <c r="O23" s="211"/>
      <c r="P23" s="211"/>
      <c r="Q23" s="211"/>
      <c r="R23" s="211"/>
      <c r="S23" s="211"/>
      <c r="T23" s="211"/>
      <c r="U23" s="216"/>
    </row>
    <row r="24" spans="1:56" ht="20.100000000000001" customHeight="1" thickBot="1" x14ac:dyDescent="0.2">
      <c r="A24" s="224" t="s">
        <v>85</v>
      </c>
      <c r="B24" s="225"/>
      <c r="C24" s="66"/>
      <c r="D24" s="66" t="str">
        <f>IF(AND(O3&gt;=35,O3&lt;=64), K3," ")</f>
        <v>ü</v>
      </c>
      <c r="E24" s="66"/>
      <c r="F24" s="66" t="str">
        <f>IF(AND(O3&gt;=65,O3&lt;=79), K3," ")</f>
        <v xml:space="preserve"> </v>
      </c>
      <c r="G24" s="66" t="str">
        <f>IF(AND(O3&gt;=80,O3&lt;=100), K3," ")</f>
        <v xml:space="preserve"> </v>
      </c>
      <c r="H24" s="66"/>
      <c r="I24" s="66"/>
      <c r="J24" s="110">
        <v>3</v>
      </c>
      <c r="L24" s="210" t="s">
        <v>254</v>
      </c>
      <c r="M24" s="211"/>
      <c r="N24" s="211"/>
      <c r="O24" s="211"/>
      <c r="P24" s="211"/>
      <c r="Q24" s="211"/>
      <c r="R24" s="211"/>
      <c r="S24" s="211"/>
      <c r="T24" s="211"/>
      <c r="U24" s="216"/>
      <c r="W24" s="207" t="s">
        <v>116</v>
      </c>
      <c r="X24" s="208"/>
      <c r="Y24" s="208"/>
      <c r="Z24" s="208"/>
      <c r="AA24" s="208"/>
      <c r="AB24" s="208"/>
      <c r="AC24" s="208"/>
      <c r="AD24" s="208"/>
      <c r="AE24" s="208"/>
      <c r="AF24" s="208"/>
      <c r="AG24" s="209"/>
    </row>
    <row r="25" spans="1:56" ht="20.100000000000001" customHeight="1" x14ac:dyDescent="0.15">
      <c r="A25" s="224" t="s">
        <v>104</v>
      </c>
      <c r="B25" s="225"/>
      <c r="C25" s="66"/>
      <c r="D25" s="66"/>
      <c r="E25" s="66"/>
      <c r="F25" s="66" t="str">
        <f>IF(AND(P3&gt;=9,P3&lt;=11), K3," ")</f>
        <v xml:space="preserve"> </v>
      </c>
      <c r="G25" s="66" t="str">
        <f>IF(AND(P3&gt;=12,P3&lt;=13), K3," ")</f>
        <v xml:space="preserve"> </v>
      </c>
      <c r="H25" s="66" t="str">
        <f>IF(AND(3&gt;=14,P3&lt;=15), K3," ")</f>
        <v xml:space="preserve"> </v>
      </c>
      <c r="I25" s="66"/>
      <c r="J25" s="110">
        <v>0</v>
      </c>
      <c r="L25" s="210" t="s">
        <v>255</v>
      </c>
      <c r="M25" s="211"/>
      <c r="N25" s="211"/>
      <c r="O25" s="211"/>
      <c r="P25" s="211"/>
      <c r="Q25" s="211"/>
      <c r="R25" s="211"/>
      <c r="S25" s="211"/>
      <c r="T25" s="211"/>
      <c r="U25" s="216"/>
      <c r="W25" s="210" t="s">
        <v>130</v>
      </c>
      <c r="X25" s="211"/>
      <c r="Y25" s="211"/>
      <c r="Z25" s="211"/>
      <c r="AA25" s="211"/>
      <c r="AB25" s="211"/>
      <c r="AC25" s="211"/>
      <c r="AD25" s="211"/>
      <c r="AE25" s="211"/>
      <c r="AF25" s="211"/>
      <c r="AG25" s="216"/>
      <c r="AH25" s="96" t="s">
        <v>127</v>
      </c>
    </row>
    <row r="26" spans="1:56" ht="20.100000000000001" customHeight="1" thickBot="1" x14ac:dyDescent="0.2">
      <c r="A26" s="224" t="s">
        <v>265</v>
      </c>
      <c r="B26" s="225"/>
      <c r="C26" s="66" t="str">
        <f>IF(AND(Q11&gt;=1,Q3&lt;=7), K3," ")</f>
        <v xml:space="preserve"> </v>
      </c>
      <c r="D26" s="66" t="str">
        <f>IF(AND(Q3&gt;=8,Q3&lt;=11), K3," ")</f>
        <v>ü</v>
      </c>
      <c r="E26" s="66" t="str">
        <f>IF(AND(Q3&gt;=12,Q3&lt;=14), K3," ")</f>
        <v xml:space="preserve"> </v>
      </c>
      <c r="F26" s="66" t="str">
        <f>IF(AND(Q3&gt;=15,Q3&lt;=18), K3," ")</f>
        <v xml:space="preserve"> </v>
      </c>
      <c r="G26" s="66" t="str">
        <f>IF(AND(Q3&gt;=19,Q3&lt;=21), K3," ")</f>
        <v xml:space="preserve"> </v>
      </c>
      <c r="H26" s="66" t="str">
        <f>IF(AND(Q3&gt;=22,Q3&lt;=25), K3," ")</f>
        <v xml:space="preserve"> </v>
      </c>
      <c r="I26" s="66" t="str">
        <f>IF(AND(Q3&gt;=26,Q3&lt;=28), K3," ")</f>
        <v xml:space="preserve"> </v>
      </c>
      <c r="J26" s="110">
        <v>1</v>
      </c>
      <c r="L26" s="214" t="s">
        <v>256</v>
      </c>
      <c r="M26" s="215"/>
      <c r="N26" s="215"/>
      <c r="O26" s="215"/>
      <c r="P26" s="215"/>
      <c r="Q26" s="215"/>
      <c r="R26" s="215"/>
      <c r="S26" s="215"/>
      <c r="T26" s="215"/>
      <c r="U26" s="227"/>
      <c r="W26" s="210" t="s">
        <v>131</v>
      </c>
      <c r="X26" s="211"/>
      <c r="Y26" s="211"/>
      <c r="Z26" s="211"/>
      <c r="AA26" s="211"/>
      <c r="AB26" s="211"/>
      <c r="AC26" s="211"/>
      <c r="AD26" s="211"/>
      <c r="AE26" s="211"/>
      <c r="AF26" s="211"/>
      <c r="AG26" s="109"/>
      <c r="AH26" s="96" t="s">
        <v>128</v>
      </c>
    </row>
    <row r="27" spans="1:56" ht="20.100000000000001" customHeight="1" thickBot="1" x14ac:dyDescent="0.2">
      <c r="A27" s="51" t="s">
        <v>273</v>
      </c>
      <c r="B27" s="52"/>
      <c r="C27" s="66" t="str">
        <f>IF(AND(R3&gt;=0,R3&lt;=7), K3," ")</f>
        <v xml:space="preserve"> </v>
      </c>
      <c r="D27" s="66" t="str">
        <f>IF(AND(R3&gt;=8,R3&lt;=10), K3," ")</f>
        <v xml:space="preserve"> </v>
      </c>
      <c r="E27" s="66" t="str">
        <f>IF(AND(R3&gt;=11,R3&lt;=13), K3," ")</f>
        <v>ü</v>
      </c>
      <c r="F27" s="66" t="str">
        <f>IF(AND(R3&gt;=14,R3&lt;=16), K3," ")</f>
        <v xml:space="preserve"> </v>
      </c>
      <c r="G27" s="66" t="str">
        <f>IF(AND(R3&gt;=17,R3&lt;=20), K3," ")</f>
        <v xml:space="preserve"> </v>
      </c>
      <c r="H27" s="66" t="str">
        <f>IF(AND(R3&gt;=21,R3&lt;=23), K3," ")</f>
        <v xml:space="preserve"> </v>
      </c>
      <c r="I27" s="66" t="str">
        <f>IF(AND(R3=23,R3&lt;=26), K3," ")</f>
        <v xml:space="preserve"> </v>
      </c>
      <c r="J27" s="112">
        <v>2</v>
      </c>
      <c r="K27" s="113"/>
      <c r="W27" s="214" t="s">
        <v>132</v>
      </c>
      <c r="X27" s="215"/>
      <c r="Y27" s="215"/>
      <c r="Z27" s="215"/>
      <c r="AA27" s="215"/>
      <c r="AB27" s="215"/>
      <c r="AC27" s="215"/>
      <c r="AD27" s="215"/>
      <c r="AE27" s="215"/>
      <c r="AF27" s="215"/>
      <c r="AG27" s="114"/>
      <c r="AH27" s="96" t="s">
        <v>129</v>
      </c>
    </row>
    <row r="28" spans="1:56" ht="20.100000000000001" customHeight="1" x14ac:dyDescent="0.15">
      <c r="A28" s="51" t="s">
        <v>281</v>
      </c>
      <c r="B28" s="52"/>
      <c r="C28" s="66" t="str">
        <f>IF(AND(S3&gt;=0,S3&lt;=4), K3," ")</f>
        <v xml:space="preserve"> </v>
      </c>
      <c r="D28" s="66" t="str">
        <f>IF(AND(S3&gt;=5,S3&lt;=9), K3," ")</f>
        <v xml:space="preserve"> </v>
      </c>
      <c r="E28" s="66" t="str">
        <f>IF(AND(S3&gt;=10,S3&lt;=14), K3," ")</f>
        <v xml:space="preserve"> </v>
      </c>
      <c r="F28" s="66" t="str">
        <f>IF(AND(S3&gt;=15,S3&lt;=19), K3," ")</f>
        <v>ü</v>
      </c>
      <c r="G28" s="66" t="str">
        <f>IF(AND(S3&gt;=20,S3&lt;=24), K3," ")</f>
        <v xml:space="preserve"> </v>
      </c>
      <c r="H28" s="66" t="str">
        <f>IF(AND(S3&gt;=25,S3&lt;=28), K3," ")</f>
        <v xml:space="preserve"> </v>
      </c>
      <c r="I28" s="66"/>
      <c r="J28" s="110">
        <v>3</v>
      </c>
      <c r="K28" s="113"/>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row>
    <row r="29" spans="1:56" ht="20.100000000000001" customHeight="1" x14ac:dyDescent="0.15">
      <c r="A29" s="51" t="s">
        <v>289</v>
      </c>
      <c r="B29" s="52"/>
      <c r="C29" s="66" t="str">
        <f>IF(AND(T3&gt;=0,T3&lt;=0), K3," ")</f>
        <v xml:space="preserve"> </v>
      </c>
      <c r="D29" s="66" t="str">
        <f>IF(AND(T3&gt;=1,T3&lt;=3), K3," ")</f>
        <v xml:space="preserve"> </v>
      </c>
      <c r="E29" s="66" t="str">
        <f>IF(AND(T3&gt;=4,T3&lt;=7), K3," ")</f>
        <v xml:space="preserve"> </v>
      </c>
      <c r="F29" s="66" t="str">
        <f>IF(AND(T3&gt;=8,T3&lt;=10), K3," ")</f>
        <v xml:space="preserve"> </v>
      </c>
      <c r="G29" s="66" t="str">
        <f>IF(AND(T3&gt;=11,T3&lt;=13), K3," ")</f>
        <v>ü</v>
      </c>
      <c r="H29" s="66" t="str">
        <f>IF(AND(T3&gt;=14,T3&lt;=16), K3," ")</f>
        <v xml:space="preserve"> </v>
      </c>
      <c r="I29" s="66" t="str">
        <f>IF(AND(T3&gt;=17,T3&lt;=20), K3," ")</f>
        <v xml:space="preserve"> </v>
      </c>
      <c r="J29" s="112">
        <v>4</v>
      </c>
      <c r="K29" s="113"/>
      <c r="X29" s="212"/>
      <c r="Y29" s="212"/>
      <c r="Z29" s="212"/>
      <c r="AA29" s="212"/>
      <c r="AB29" s="212"/>
      <c r="AC29" s="212"/>
      <c r="AD29" s="212"/>
      <c r="AE29" s="212"/>
      <c r="AF29" s="212"/>
      <c r="AG29" s="212"/>
      <c r="AH29" s="115"/>
      <c r="AI29" s="115"/>
      <c r="AJ29" s="115"/>
      <c r="AK29" s="115"/>
      <c r="AL29" s="115"/>
      <c r="AM29" s="115"/>
      <c r="AN29" s="115"/>
      <c r="AO29" s="115"/>
      <c r="AP29" s="115"/>
      <c r="AQ29" s="115"/>
      <c r="AR29" s="115"/>
      <c r="AS29" s="115"/>
      <c r="AT29" s="115"/>
      <c r="AU29" s="115"/>
      <c r="AV29" s="115"/>
      <c r="AW29" s="115"/>
      <c r="AX29" s="115"/>
      <c r="AY29" s="115"/>
      <c r="AZ29" s="115"/>
      <c r="BA29" s="115"/>
      <c r="BB29" s="115"/>
      <c r="BC29" s="115"/>
      <c r="BD29" s="115"/>
    </row>
    <row r="30" spans="1:56" s="116" customFormat="1" ht="20.100000000000001" customHeight="1" x14ac:dyDescent="0.15">
      <c r="A30" s="51" t="s">
        <v>297</v>
      </c>
      <c r="B30" s="52"/>
      <c r="C30" s="66" t="str">
        <f>IF(AND(U3&gt;=0,U3&lt;=0), K3," ")</f>
        <v xml:space="preserve"> </v>
      </c>
      <c r="D30" s="66" t="str">
        <f>IF(AND(U3&gt;=2,U3&lt;=0), K3," ")</f>
        <v xml:space="preserve"> </v>
      </c>
      <c r="E30" s="66" t="str">
        <f>IF(AND(U3&gt;=3,U3&lt;=5), K3," ")</f>
        <v xml:space="preserve"> </v>
      </c>
      <c r="F30" s="66" t="str">
        <f>IF(AND(U3&gt;=6,U3&lt;=9), K3," ")</f>
        <v>ü</v>
      </c>
      <c r="G30" s="66" t="str">
        <f>IF(AND(U3&gt;=10,U3&lt;=12), K3," ")</f>
        <v xml:space="preserve"> </v>
      </c>
      <c r="H30" s="66" t="str">
        <f>IF(AND(U3&gt;=13,U3&lt;=15), K3," ")</f>
        <v xml:space="preserve"> </v>
      </c>
      <c r="I30" s="66" t="str">
        <f>IF(AND(U3&gt;=16,U3&lt;=19), K3," ")</f>
        <v xml:space="preserve"> </v>
      </c>
      <c r="J30" s="110">
        <v>5</v>
      </c>
      <c r="K30" s="113"/>
      <c r="L30" s="226" t="s">
        <v>257</v>
      </c>
      <c r="M30" s="226"/>
      <c r="N30" s="226"/>
      <c r="O30" s="226"/>
      <c r="P30" s="226"/>
      <c r="Q30" s="96"/>
      <c r="R30" s="226" t="s">
        <v>142</v>
      </c>
      <c r="S30" s="226"/>
      <c r="T30" s="226"/>
      <c r="U30" s="226"/>
      <c r="V30" s="226"/>
      <c r="X30" s="213" t="s">
        <v>143</v>
      </c>
      <c r="Y30" s="213"/>
      <c r="Z30" s="213"/>
      <c r="AA30" s="213"/>
      <c r="AB30" s="213"/>
      <c r="AC30" s="117"/>
      <c r="AD30" s="213" t="s">
        <v>144</v>
      </c>
      <c r="AE30" s="213"/>
      <c r="AF30" s="213"/>
      <c r="AG30" s="213"/>
      <c r="AH30" s="213"/>
      <c r="AI30" s="117"/>
      <c r="AJ30" s="213" t="s">
        <v>145</v>
      </c>
      <c r="AK30" s="213"/>
      <c r="AL30" s="213"/>
      <c r="AM30" s="213"/>
      <c r="AN30" s="213"/>
      <c r="AO30" s="117"/>
      <c r="AP30" s="213" t="s">
        <v>146</v>
      </c>
      <c r="AQ30" s="213"/>
      <c r="AR30" s="213"/>
      <c r="AS30" s="213"/>
      <c r="AT30" s="213"/>
      <c r="AU30" s="117"/>
      <c r="AV30" s="213" t="s">
        <v>147</v>
      </c>
      <c r="AW30" s="213"/>
      <c r="AX30" s="213"/>
      <c r="AY30" s="213"/>
      <c r="AZ30" s="117"/>
      <c r="BA30" s="117"/>
      <c r="BB30" s="117"/>
      <c r="BC30" s="117"/>
      <c r="BD30" s="117"/>
    </row>
    <row r="31" spans="1:56" s="116" customFormat="1" ht="20.100000000000001" customHeight="1" x14ac:dyDescent="0.15">
      <c r="A31" s="51" t="s">
        <v>305</v>
      </c>
      <c r="B31" s="52"/>
      <c r="C31" s="66" t="str">
        <f>IF(AND(V3&gt;=0,V3&lt;=2), K3," ")</f>
        <v xml:space="preserve"> </v>
      </c>
      <c r="D31" s="66" t="str">
        <f>IF(AND(V3&gt;=3,V3&lt;=6), K3," ")</f>
        <v xml:space="preserve"> </v>
      </c>
      <c r="E31" s="66" t="str">
        <f>IF(AND(V3&gt;=7,V3&lt;=10), K3," ")</f>
        <v xml:space="preserve"> </v>
      </c>
      <c r="F31" s="66" t="str">
        <f>IF(AND(V3&gt;=11,V3&lt;=14), K3," ")</f>
        <v xml:space="preserve"> </v>
      </c>
      <c r="G31" s="66" t="str">
        <f>IF(AND(V3&gt;=15,V3&lt;=18), K3," ")</f>
        <v>ü</v>
      </c>
      <c r="H31" s="66" t="str">
        <f>IF(AND(V3&gt;=19,V3&lt;=22), K3," ")</f>
        <v xml:space="preserve"> </v>
      </c>
      <c r="I31" s="66" t="str">
        <f>IF(AND(V3&gt;=23,V3&lt;=25), K3," ")</f>
        <v xml:space="preserve"> </v>
      </c>
      <c r="J31" s="112">
        <v>6</v>
      </c>
      <c r="K31" s="113"/>
      <c r="L31" s="118" t="s">
        <v>133</v>
      </c>
      <c r="M31" s="195" t="s">
        <v>141</v>
      </c>
      <c r="N31" s="196"/>
      <c r="O31" s="196"/>
      <c r="P31" s="197"/>
      <c r="Q31" s="119"/>
      <c r="R31" s="118" t="s">
        <v>133</v>
      </c>
      <c r="S31" s="195" t="s">
        <v>141</v>
      </c>
      <c r="T31" s="196"/>
      <c r="U31" s="196"/>
      <c r="V31" s="197"/>
      <c r="W31" s="119"/>
      <c r="X31" s="120" t="s">
        <v>133</v>
      </c>
      <c r="Y31" s="201" t="s">
        <v>141</v>
      </c>
      <c r="Z31" s="202"/>
      <c r="AA31" s="202"/>
      <c r="AB31" s="203"/>
      <c r="AC31" s="121"/>
      <c r="AD31" s="120" t="s">
        <v>133</v>
      </c>
      <c r="AE31" s="201" t="s">
        <v>141</v>
      </c>
      <c r="AF31" s="202"/>
      <c r="AG31" s="202"/>
      <c r="AH31" s="203"/>
      <c r="AI31" s="121"/>
      <c r="AJ31" s="120" t="s">
        <v>133</v>
      </c>
      <c r="AK31" s="201" t="s">
        <v>141</v>
      </c>
      <c r="AL31" s="202"/>
      <c r="AM31" s="202"/>
      <c r="AN31" s="203"/>
      <c r="AO31" s="117"/>
      <c r="AP31" s="120" t="s">
        <v>133</v>
      </c>
      <c r="AQ31" s="201" t="s">
        <v>141</v>
      </c>
      <c r="AR31" s="202"/>
      <c r="AS31" s="202"/>
      <c r="AT31" s="203"/>
      <c r="AU31" s="117"/>
      <c r="AV31" s="120" t="s">
        <v>133</v>
      </c>
      <c r="AW31" s="201" t="s">
        <v>141</v>
      </c>
      <c r="AX31" s="202"/>
      <c r="AY31" s="203"/>
      <c r="AZ31" s="117"/>
      <c r="BA31" s="117"/>
      <c r="BB31" s="117"/>
      <c r="BC31" s="117"/>
      <c r="BD31" s="117"/>
    </row>
    <row r="32" spans="1:56" s="116" customFormat="1" ht="20.100000000000001" customHeight="1" x14ac:dyDescent="0.15">
      <c r="A32" s="51" t="s">
        <v>313</v>
      </c>
      <c r="B32" s="52"/>
      <c r="C32" s="66" t="str">
        <f>IF(AND(W3&gt;=0,W3&lt;=4), K3," ")</f>
        <v xml:space="preserve"> </v>
      </c>
      <c r="D32" s="66" t="str">
        <f>IF(AND(W3&gt;=5,W3&lt;=9), K3," ")</f>
        <v xml:space="preserve"> </v>
      </c>
      <c r="E32" s="66" t="str">
        <f>IF(AND(W3&gt;=10,W3&lt;=13), K3," ")</f>
        <v>ü</v>
      </c>
      <c r="F32" s="66" t="str">
        <f>IF(AND(W3&gt;=14,W3&lt;=18), K3," ")</f>
        <v xml:space="preserve"> </v>
      </c>
      <c r="G32" s="66" t="str">
        <f>IF(AND(W3&gt;=19,W3&lt;=22), K3," ")</f>
        <v xml:space="preserve"> </v>
      </c>
      <c r="H32" s="66" t="str">
        <f>IF(AND(W3&gt;=23,W3&lt;=28), K3," ")</f>
        <v xml:space="preserve"> </v>
      </c>
      <c r="I32" s="66"/>
      <c r="J32" s="110">
        <v>7</v>
      </c>
      <c r="K32" s="113"/>
      <c r="L32" s="118" t="s">
        <v>134</v>
      </c>
      <c r="M32" s="122" t="s">
        <v>258</v>
      </c>
      <c r="N32" s="119"/>
      <c r="O32" s="119"/>
      <c r="P32" s="123"/>
      <c r="Q32" s="119"/>
      <c r="R32" s="118" t="s">
        <v>161</v>
      </c>
      <c r="S32" s="122" t="s">
        <v>266</v>
      </c>
      <c r="T32" s="119"/>
      <c r="U32" s="119"/>
      <c r="V32" s="123"/>
      <c r="W32" s="119"/>
      <c r="X32" s="120"/>
      <c r="Y32" s="124" t="s">
        <v>274</v>
      </c>
      <c r="Z32" s="121"/>
      <c r="AA32" s="121"/>
      <c r="AB32" s="125"/>
      <c r="AC32" s="121"/>
      <c r="AD32" s="120" t="s">
        <v>159</v>
      </c>
      <c r="AE32" s="124" t="s">
        <v>282</v>
      </c>
      <c r="AF32" s="121"/>
      <c r="AG32" s="121"/>
      <c r="AH32" s="125"/>
      <c r="AI32" s="121"/>
      <c r="AJ32" s="120" t="s">
        <v>175</v>
      </c>
      <c r="AK32" s="124" t="s">
        <v>290</v>
      </c>
      <c r="AL32" s="121"/>
      <c r="AM32" s="121"/>
      <c r="AN32" s="125"/>
      <c r="AO32" s="117"/>
      <c r="AP32" s="120" t="s">
        <v>179</v>
      </c>
      <c r="AQ32" s="124" t="s">
        <v>298</v>
      </c>
      <c r="AR32" s="121"/>
      <c r="AS32" s="121"/>
      <c r="AT32" s="125"/>
      <c r="AU32" s="117"/>
      <c r="AV32" s="120"/>
      <c r="AW32" s="124" t="s">
        <v>306</v>
      </c>
      <c r="AX32" s="121"/>
      <c r="AY32" s="125"/>
      <c r="AZ32" s="117"/>
      <c r="BA32" s="117"/>
      <c r="BB32" s="117"/>
      <c r="BC32" s="117"/>
      <c r="BD32" s="117"/>
    </row>
    <row r="33" spans="1:56" s="116" customFormat="1" ht="20.100000000000001" customHeight="1" x14ac:dyDescent="0.15">
      <c r="A33" s="51" t="s">
        <v>321</v>
      </c>
      <c r="B33" s="52"/>
      <c r="C33" s="66" t="str">
        <f>IF(AND(X3&gt;=0,X3&lt;=0), K3," ")</f>
        <v xml:space="preserve"> </v>
      </c>
      <c r="D33" s="66" t="str">
        <f>IF(AND(X3&gt;=1,X3&lt;=3), 3," ")</f>
        <v xml:space="preserve"> </v>
      </c>
      <c r="E33" s="66" t="str">
        <f>IF(AND(X3&gt;=4,X3&lt;=7), K3," ")</f>
        <v xml:space="preserve"> </v>
      </c>
      <c r="F33" s="66" t="str">
        <f>IF(AND(X3&gt;=8,X3&lt;=11), K3," ")</f>
        <v xml:space="preserve"> </v>
      </c>
      <c r="G33" s="66" t="str">
        <f>IF(AND(X3&gt;=12,X3&lt;=15), K3," ")</f>
        <v>ü</v>
      </c>
      <c r="H33" s="66" t="str">
        <f>IF(AND(X3&gt;=16,X3&lt;=18), K3," ")</f>
        <v xml:space="preserve"> </v>
      </c>
      <c r="I33" s="66" t="str">
        <f>IF(AND(X3&gt;=19,X3&lt;=22), K3," ")</f>
        <v xml:space="preserve"> </v>
      </c>
      <c r="J33" s="112">
        <v>8</v>
      </c>
      <c r="K33" s="126"/>
      <c r="L33" s="120" t="s">
        <v>135</v>
      </c>
      <c r="M33" s="127" t="s">
        <v>260</v>
      </c>
      <c r="N33" s="121"/>
      <c r="O33" s="121"/>
      <c r="P33" s="125"/>
      <c r="Q33" s="121"/>
      <c r="R33" s="120" t="s">
        <v>160</v>
      </c>
      <c r="S33" s="127" t="s">
        <v>267</v>
      </c>
      <c r="T33" s="121"/>
      <c r="U33" s="121"/>
      <c r="V33" s="125"/>
      <c r="W33" s="121"/>
      <c r="X33" s="120" t="s">
        <v>167</v>
      </c>
      <c r="Y33" s="127" t="s">
        <v>275</v>
      </c>
      <c r="Z33" s="121"/>
      <c r="AA33" s="121"/>
      <c r="AB33" s="125"/>
      <c r="AC33" s="121"/>
      <c r="AD33" s="120" t="s">
        <v>171</v>
      </c>
      <c r="AE33" s="127" t="s">
        <v>283</v>
      </c>
      <c r="AF33" s="121"/>
      <c r="AG33" s="121"/>
      <c r="AH33" s="125"/>
      <c r="AI33" s="121"/>
      <c r="AJ33" s="120" t="s">
        <v>174</v>
      </c>
      <c r="AK33" s="127" t="s">
        <v>291</v>
      </c>
      <c r="AL33" s="121"/>
      <c r="AM33" s="121"/>
      <c r="AN33" s="125"/>
      <c r="AO33" s="117"/>
      <c r="AP33" s="120" t="s">
        <v>180</v>
      </c>
      <c r="AQ33" s="127" t="s">
        <v>299</v>
      </c>
      <c r="AR33" s="121"/>
      <c r="AS33" s="121"/>
      <c r="AT33" s="125"/>
      <c r="AU33" s="117"/>
      <c r="AV33" s="120" t="s">
        <v>185</v>
      </c>
      <c r="AW33" s="127" t="s">
        <v>307</v>
      </c>
      <c r="AX33" s="121"/>
      <c r="AY33" s="125"/>
      <c r="AZ33" s="117"/>
      <c r="BA33" s="117"/>
      <c r="BB33" s="117"/>
      <c r="BC33" s="117"/>
      <c r="BD33" s="117"/>
    </row>
    <row r="34" spans="1:56" s="116" customFormat="1" ht="20.100000000000001" customHeight="1" x14ac:dyDescent="0.15">
      <c r="A34" s="51" t="s">
        <v>329</v>
      </c>
      <c r="B34" s="52"/>
      <c r="C34" s="66" t="str">
        <f>IF(AND(Y3&gt;=0,Y3&lt;=5), K3," ")</f>
        <v xml:space="preserve"> </v>
      </c>
      <c r="D34" s="66" t="str">
        <f>IF(AND(Y3&gt;=6,Y3&lt;=10), K3," ")</f>
        <v>ü</v>
      </c>
      <c r="E34" s="66" t="str">
        <f>IF(AND(Y3&gt;=11,Y3&lt;=14), K3," ")</f>
        <v xml:space="preserve"> </v>
      </c>
      <c r="F34" s="66" t="str">
        <f>IF(AND(Y3&gt;=15,Y3&lt;=18), K3," ")</f>
        <v xml:space="preserve"> </v>
      </c>
      <c r="G34" s="66" t="str">
        <f>IF(AND(Y3&gt;=19,Y3&lt;=22), K3," ")</f>
        <v xml:space="preserve"> </v>
      </c>
      <c r="H34" s="66" t="str">
        <f>IF(AND(Y3&gt;=23,Y3&lt;=26), K3," ")</f>
        <v xml:space="preserve"> </v>
      </c>
      <c r="I34" s="66" t="str">
        <f>IF(AND(Y3&gt;=27,Y3&lt;=28), K3," ")</f>
        <v xml:space="preserve"> </v>
      </c>
      <c r="J34" s="110">
        <v>9</v>
      </c>
      <c r="K34" s="126"/>
      <c r="L34" s="120" t="s">
        <v>136</v>
      </c>
      <c r="M34" s="127" t="s">
        <v>261</v>
      </c>
      <c r="N34" s="121"/>
      <c r="O34" s="121"/>
      <c r="P34" s="125"/>
      <c r="Q34" s="121"/>
      <c r="R34" s="120" t="s">
        <v>159</v>
      </c>
      <c r="S34" s="127" t="s">
        <v>268</v>
      </c>
      <c r="T34" s="121"/>
      <c r="U34" s="121"/>
      <c r="V34" s="125"/>
      <c r="W34" s="121"/>
      <c r="X34" s="120" t="s">
        <v>166</v>
      </c>
      <c r="Y34" s="127" t="s">
        <v>276</v>
      </c>
      <c r="Z34" s="121"/>
      <c r="AA34" s="121"/>
      <c r="AB34" s="125"/>
      <c r="AC34" s="121"/>
      <c r="AD34" s="120" t="s">
        <v>157</v>
      </c>
      <c r="AE34" s="127" t="s">
        <v>284</v>
      </c>
      <c r="AF34" s="121"/>
      <c r="AG34" s="121"/>
      <c r="AH34" s="125"/>
      <c r="AI34" s="121"/>
      <c r="AJ34" s="120" t="s">
        <v>224</v>
      </c>
      <c r="AK34" s="127" t="s">
        <v>292</v>
      </c>
      <c r="AL34" s="121"/>
      <c r="AM34" s="121"/>
      <c r="AN34" s="125"/>
      <c r="AO34" s="117"/>
      <c r="AP34" s="120" t="s">
        <v>178</v>
      </c>
      <c r="AQ34" s="127" t="s">
        <v>300</v>
      </c>
      <c r="AR34" s="121"/>
      <c r="AS34" s="121"/>
      <c r="AT34" s="125"/>
      <c r="AU34" s="117"/>
      <c r="AV34" s="120" t="s">
        <v>184</v>
      </c>
      <c r="AW34" s="127" t="s">
        <v>308</v>
      </c>
      <c r="AX34" s="121"/>
      <c r="AY34" s="125"/>
      <c r="AZ34" s="117"/>
      <c r="BA34" s="117"/>
      <c r="BB34" s="117"/>
      <c r="BC34" s="117"/>
      <c r="BD34" s="117"/>
    </row>
    <row r="35" spans="1:56" s="116" customFormat="1" ht="20.100000000000001" customHeight="1" x14ac:dyDescent="0.15">
      <c r="A35" s="51" t="s">
        <v>337</v>
      </c>
      <c r="B35" s="52"/>
      <c r="C35" s="66" t="str">
        <f>IF(AND(Z3&gt;=0,Z3&lt;=6), K3," ")</f>
        <v xml:space="preserve"> </v>
      </c>
      <c r="D35" s="66" t="str">
        <f>IF(AND(Z3&gt;=7,Z3&lt;=11), K3," ")</f>
        <v xml:space="preserve"> </v>
      </c>
      <c r="E35" s="66" t="str">
        <f>IF(AND(Z3&gt;=12,Z3&lt;=16), K3," ")</f>
        <v>ü</v>
      </c>
      <c r="F35" s="66" t="str">
        <f>IF(AND(Z3&gt;=17,Z3&lt;=20), K3," ")</f>
        <v xml:space="preserve"> </v>
      </c>
      <c r="G35" s="66" t="str">
        <f>IF(AND(Z3&gt;=21,Z3&lt;=25), K3," ")</f>
        <v xml:space="preserve"> </v>
      </c>
      <c r="H35" s="66" t="str">
        <f>IF(AND(Z3&gt;=26,Z3&lt;=28), K3," ")</f>
        <v xml:space="preserve"> </v>
      </c>
      <c r="I35" s="66"/>
      <c r="J35" s="112">
        <v>10</v>
      </c>
      <c r="K35" s="126"/>
      <c r="L35" s="120" t="s">
        <v>137</v>
      </c>
      <c r="M35" s="127" t="s">
        <v>259</v>
      </c>
      <c r="N35" s="121"/>
      <c r="O35" s="121"/>
      <c r="P35" s="125"/>
      <c r="Q35" s="121"/>
      <c r="R35" s="120" t="s">
        <v>158</v>
      </c>
      <c r="S35" s="127" t="s">
        <v>269</v>
      </c>
      <c r="T35" s="121"/>
      <c r="U35" s="121"/>
      <c r="V35" s="125"/>
      <c r="W35" s="121"/>
      <c r="X35" s="120" t="s">
        <v>165</v>
      </c>
      <c r="Y35" s="127" t="s">
        <v>277</v>
      </c>
      <c r="Z35" s="121"/>
      <c r="AA35" s="121"/>
      <c r="AB35" s="125"/>
      <c r="AC35" s="121"/>
      <c r="AD35" s="120" t="s">
        <v>170</v>
      </c>
      <c r="AE35" s="127" t="s">
        <v>285</v>
      </c>
      <c r="AF35" s="121"/>
      <c r="AG35" s="121"/>
      <c r="AH35" s="125"/>
      <c r="AI35" s="121"/>
      <c r="AJ35" s="120" t="s">
        <v>223</v>
      </c>
      <c r="AK35" s="127" t="s">
        <v>293</v>
      </c>
      <c r="AL35" s="121"/>
      <c r="AM35" s="121"/>
      <c r="AN35" s="125"/>
      <c r="AO35" s="117"/>
      <c r="AP35" s="120" t="s">
        <v>191</v>
      </c>
      <c r="AQ35" s="127" t="s">
        <v>301</v>
      </c>
      <c r="AR35" s="121"/>
      <c r="AS35" s="121"/>
      <c r="AT35" s="125"/>
      <c r="AU35" s="117"/>
      <c r="AV35" s="120" t="s">
        <v>181</v>
      </c>
      <c r="AW35" s="127" t="s">
        <v>309</v>
      </c>
      <c r="AX35" s="121"/>
      <c r="AY35" s="125"/>
      <c r="AZ35" s="117"/>
      <c r="BA35" s="117"/>
      <c r="BB35" s="117"/>
      <c r="BC35" s="117"/>
      <c r="BD35" s="117"/>
    </row>
    <row r="36" spans="1:56" s="116" customFormat="1" ht="20.100000000000001" customHeight="1" x14ac:dyDescent="0.15">
      <c r="A36" s="51" t="s">
        <v>345</v>
      </c>
      <c r="B36" s="52"/>
      <c r="C36" s="66" t="str">
        <f>IF(AND(AA3&gt;=0,AA3&lt;=7), K3," ")</f>
        <v xml:space="preserve"> </v>
      </c>
      <c r="D36" s="66" t="str">
        <f>IF(AND(AA3&gt;=8,AA3&lt;=12), K3," ")</f>
        <v>ü</v>
      </c>
      <c r="E36" s="66" t="str">
        <f>IF(AND(AA3&gt;=13,AA3&lt;=16), K3," ")</f>
        <v xml:space="preserve"> </v>
      </c>
      <c r="F36" s="66" t="str">
        <f>IF(AND(AA3&gt;=17,AA3&lt;=20), K3," ")</f>
        <v xml:space="preserve"> </v>
      </c>
      <c r="G36" s="66" t="str">
        <f>IF(AND(AA3&gt;=21,AA3&lt;=25), K3," ")</f>
        <v xml:space="preserve"> </v>
      </c>
      <c r="H36" s="66" t="str">
        <f>IF(AND(AA3&gt;=26,AA3&lt;=28), K3," ")</f>
        <v xml:space="preserve"> </v>
      </c>
      <c r="I36" s="66"/>
      <c r="J36" s="110">
        <v>11</v>
      </c>
      <c r="K36" s="126"/>
      <c r="L36" s="120" t="s">
        <v>138</v>
      </c>
      <c r="M36" s="127" t="s">
        <v>262</v>
      </c>
      <c r="N36" s="121"/>
      <c r="O36" s="121"/>
      <c r="P36" s="125"/>
      <c r="Q36" s="121"/>
      <c r="R36" s="120" t="s">
        <v>157</v>
      </c>
      <c r="S36" s="127" t="s">
        <v>270</v>
      </c>
      <c r="T36" s="121"/>
      <c r="U36" s="121"/>
      <c r="V36" s="125"/>
      <c r="W36" s="121"/>
      <c r="X36" s="120" t="s">
        <v>164</v>
      </c>
      <c r="Y36" s="127" t="s">
        <v>278</v>
      </c>
      <c r="Z36" s="121"/>
      <c r="AA36" s="121"/>
      <c r="AB36" s="125"/>
      <c r="AC36" s="121"/>
      <c r="AD36" s="120" t="s">
        <v>169</v>
      </c>
      <c r="AE36" s="127" t="s">
        <v>286</v>
      </c>
      <c r="AF36" s="121"/>
      <c r="AG36" s="121"/>
      <c r="AH36" s="125"/>
      <c r="AI36" s="121"/>
      <c r="AJ36" s="120" t="s">
        <v>173</v>
      </c>
      <c r="AK36" s="127" t="s">
        <v>294</v>
      </c>
      <c r="AL36" s="121"/>
      <c r="AM36" s="121"/>
      <c r="AN36" s="125"/>
      <c r="AO36" s="117"/>
      <c r="AP36" s="120" t="s">
        <v>177</v>
      </c>
      <c r="AQ36" s="127" t="s">
        <v>302</v>
      </c>
      <c r="AR36" s="121"/>
      <c r="AS36" s="121"/>
      <c r="AT36" s="125"/>
      <c r="AU36" s="117"/>
      <c r="AV36" s="120" t="s">
        <v>183</v>
      </c>
      <c r="AW36" s="127" t="s">
        <v>310</v>
      </c>
      <c r="AX36" s="121"/>
      <c r="AY36" s="125"/>
      <c r="AZ36" s="117"/>
      <c r="BA36" s="117"/>
      <c r="BB36" s="117"/>
      <c r="BC36" s="117"/>
      <c r="BD36" s="117"/>
    </row>
    <row r="37" spans="1:56" s="116" customFormat="1" ht="20.100000000000001" customHeight="1" x14ac:dyDescent="0.15">
      <c r="A37" s="51" t="s">
        <v>353</v>
      </c>
      <c r="B37" s="52"/>
      <c r="C37" s="66" t="str">
        <f>IF(AND(AB3&gt;=0,AB3&lt;=3), K3," ")</f>
        <v xml:space="preserve"> </v>
      </c>
      <c r="D37" s="66" t="str">
        <f>IF(AND(AB3&gt;=4,AB3&lt;=7), K3," ")</f>
        <v xml:space="preserve"> </v>
      </c>
      <c r="E37" s="66" t="str">
        <f>IF(AND(AB3&gt;=8,AB3&lt;=11), K3," ")</f>
        <v xml:space="preserve"> </v>
      </c>
      <c r="F37" s="66" t="str">
        <f>IF(AND(AB3&gt;=12,AB3&lt;=15), K3," ")</f>
        <v>ü</v>
      </c>
      <c r="G37" s="66" t="str">
        <f>IF(AND(AB3&gt;=16,AB3&lt;=19), K3," ")</f>
        <v xml:space="preserve"> </v>
      </c>
      <c r="H37" s="66" t="str">
        <f>IF(AND(AB3&gt;=20,AB3&lt;=23), K3," ")</f>
        <v xml:space="preserve"> </v>
      </c>
      <c r="I37" s="66" t="str">
        <f>IF(AND(AB3&gt;=24,AB3&lt;=27), K3," ")</f>
        <v xml:space="preserve"> </v>
      </c>
      <c r="J37" s="112">
        <v>12</v>
      </c>
      <c r="K37" s="126"/>
      <c r="L37" s="120" t="s">
        <v>140</v>
      </c>
      <c r="M37" s="127" t="s">
        <v>263</v>
      </c>
      <c r="N37" s="121"/>
      <c r="O37" s="121"/>
      <c r="P37" s="125"/>
      <c r="Q37" s="121"/>
      <c r="R37" s="120" t="s">
        <v>156</v>
      </c>
      <c r="S37" s="127" t="s">
        <v>271</v>
      </c>
      <c r="T37" s="121"/>
      <c r="U37" s="121"/>
      <c r="V37" s="125"/>
      <c r="W37" s="121"/>
      <c r="X37" s="120" t="s">
        <v>163</v>
      </c>
      <c r="Y37" s="127" t="s">
        <v>279</v>
      </c>
      <c r="Z37" s="121"/>
      <c r="AA37" s="121"/>
      <c r="AB37" s="125"/>
      <c r="AC37" s="121"/>
      <c r="AD37" s="120" t="s">
        <v>168</v>
      </c>
      <c r="AE37" s="127" t="s">
        <v>287</v>
      </c>
      <c r="AF37" s="121"/>
      <c r="AG37" s="121"/>
      <c r="AH37" s="125"/>
      <c r="AI37" s="121"/>
      <c r="AJ37" s="120" t="s">
        <v>172</v>
      </c>
      <c r="AK37" s="127" t="s">
        <v>295</v>
      </c>
      <c r="AL37" s="121"/>
      <c r="AM37" s="121"/>
      <c r="AN37" s="125"/>
      <c r="AO37" s="117"/>
      <c r="AP37" s="120" t="s">
        <v>176</v>
      </c>
      <c r="AQ37" s="127" t="s">
        <v>303</v>
      </c>
      <c r="AR37" s="121"/>
      <c r="AS37" s="121"/>
      <c r="AT37" s="125"/>
      <c r="AU37" s="117"/>
      <c r="AV37" s="120" t="s">
        <v>182</v>
      </c>
      <c r="AW37" s="127" t="s">
        <v>311</v>
      </c>
      <c r="AX37" s="121"/>
      <c r="AY37" s="125"/>
      <c r="AZ37" s="117"/>
      <c r="BA37" s="117"/>
      <c r="BB37" s="117"/>
      <c r="BC37" s="117"/>
      <c r="BD37" s="117"/>
    </row>
    <row r="38" spans="1:56" s="116" customFormat="1" ht="20.100000000000001" customHeight="1" x14ac:dyDescent="0.15">
      <c r="A38" s="51" t="s">
        <v>361</v>
      </c>
      <c r="B38" s="52"/>
      <c r="C38" s="66" t="str">
        <f>IF(AND(AC3&gt;=0,AC3&lt;=9), K3," ")</f>
        <v xml:space="preserve"> </v>
      </c>
      <c r="D38" s="66" t="str">
        <f>IF(AND(AC3&gt;=10,AC3&lt;=13), K3," ")</f>
        <v xml:space="preserve"> </v>
      </c>
      <c r="E38" s="66" t="str">
        <f>IF(AND(AC3&gt;=14,AC3&lt;=18), K3," ")</f>
        <v>ü</v>
      </c>
      <c r="F38" s="66" t="str">
        <f>IF(AND(AC3&gt;=19,AC3&lt;=22), K3," ")</f>
        <v xml:space="preserve"> </v>
      </c>
      <c r="G38" s="66" t="str">
        <f>IF(AND(AC3&gt;=23,AC3&lt;=26), K3," ")</f>
        <v xml:space="preserve"> </v>
      </c>
      <c r="H38" s="66" t="str">
        <f>IF(AND(AC3&gt;=27,AC3&lt;=28), K3," ")</f>
        <v xml:space="preserve"> </v>
      </c>
      <c r="I38" s="66"/>
      <c r="J38" s="110">
        <v>13</v>
      </c>
      <c r="K38" s="126"/>
      <c r="L38" s="120" t="s">
        <v>139</v>
      </c>
      <c r="M38" s="128" t="s">
        <v>264</v>
      </c>
      <c r="N38" s="129"/>
      <c r="O38" s="129"/>
      <c r="P38" s="130"/>
      <c r="Q38" s="121"/>
      <c r="R38" s="120" t="s">
        <v>139</v>
      </c>
      <c r="S38" s="128" t="s">
        <v>272</v>
      </c>
      <c r="T38" s="129"/>
      <c r="U38" s="129"/>
      <c r="V38" s="130"/>
      <c r="W38" s="121"/>
      <c r="X38" s="120" t="s">
        <v>162</v>
      </c>
      <c r="Y38" s="128" t="s">
        <v>280</v>
      </c>
      <c r="Z38" s="129"/>
      <c r="AA38" s="129"/>
      <c r="AB38" s="130"/>
      <c r="AC38" s="121"/>
      <c r="AD38" s="120"/>
      <c r="AE38" s="128" t="s">
        <v>288</v>
      </c>
      <c r="AF38" s="129"/>
      <c r="AG38" s="129"/>
      <c r="AH38" s="130"/>
      <c r="AI38" s="121"/>
      <c r="AJ38" s="120"/>
      <c r="AK38" s="128" t="s">
        <v>296</v>
      </c>
      <c r="AL38" s="129"/>
      <c r="AM38" s="129"/>
      <c r="AN38" s="130"/>
      <c r="AO38" s="117"/>
      <c r="AP38" s="120" t="s">
        <v>172</v>
      </c>
      <c r="AQ38" s="128" t="s">
        <v>304</v>
      </c>
      <c r="AR38" s="129"/>
      <c r="AS38" s="129"/>
      <c r="AT38" s="130"/>
      <c r="AU38" s="117"/>
      <c r="AV38" s="120" t="s">
        <v>162</v>
      </c>
      <c r="AW38" s="128" t="s">
        <v>312</v>
      </c>
      <c r="AX38" s="129"/>
      <c r="AY38" s="130"/>
      <c r="AZ38" s="117"/>
      <c r="BA38" s="117"/>
      <c r="BB38" s="117"/>
      <c r="BC38" s="117"/>
      <c r="BD38" s="117"/>
    </row>
    <row r="39" spans="1:56" ht="20.100000000000001" customHeight="1" x14ac:dyDescent="0.15">
      <c r="A39" s="51" t="s">
        <v>369</v>
      </c>
      <c r="B39" s="52"/>
      <c r="C39" s="66" t="str">
        <f>IF(AND(AD3&gt;=0,AD3&lt;=0), K3," ")</f>
        <v xml:space="preserve"> </v>
      </c>
      <c r="D39" s="66" t="str">
        <f>IF(AND(AD3&gt;=1,AD3&lt;=1), K3," ")</f>
        <v xml:space="preserve"> </v>
      </c>
      <c r="E39" s="66" t="str">
        <f>IF(AND(AD3&gt;=2,AD3&lt;=6), K3," ")</f>
        <v xml:space="preserve"> </v>
      </c>
      <c r="F39" s="66" t="str">
        <f>IF(AND(AD3&gt;=7,AD3&lt;=11), K3," ")</f>
        <v>ü</v>
      </c>
      <c r="G39" s="66" t="str">
        <f>IF(AND(AD3&gt;=12,AD3&lt;=17), K3," ")</f>
        <v xml:space="preserve"> </v>
      </c>
      <c r="H39" s="66" t="str">
        <f>IF(AND(AD3&gt;=18,AD3&lt;=22), K3," ")</f>
        <v xml:space="preserve"> </v>
      </c>
      <c r="I39" s="66"/>
      <c r="J39" s="112">
        <v>14</v>
      </c>
      <c r="K39" s="126"/>
      <c r="L39" s="121"/>
      <c r="M39" s="115"/>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15"/>
      <c r="AO39" s="115"/>
      <c r="AP39" s="115"/>
      <c r="AQ39" s="115"/>
      <c r="AR39" s="115"/>
      <c r="AS39" s="115"/>
      <c r="AT39" s="115"/>
      <c r="AU39" s="115"/>
      <c r="AV39" s="115"/>
      <c r="AW39" s="115"/>
      <c r="AX39" s="115"/>
      <c r="AY39" s="115"/>
      <c r="AZ39" s="115"/>
      <c r="BA39" s="115"/>
      <c r="BB39" s="115"/>
      <c r="BC39" s="115"/>
      <c r="BD39" s="115"/>
    </row>
    <row r="40" spans="1:56" ht="20.100000000000001" customHeight="1" x14ac:dyDescent="0.15">
      <c r="A40" s="51" t="s">
        <v>377</v>
      </c>
      <c r="B40" s="52"/>
      <c r="C40" s="66" t="str">
        <f>IF(AND(AE3&gt;=0,AE3&lt;=3), K3," ")</f>
        <v xml:space="preserve"> </v>
      </c>
      <c r="D40" s="66" t="str">
        <f>IF(AND(AE3&gt;=4,AE3&lt;=7), K3," ")</f>
        <v xml:space="preserve"> </v>
      </c>
      <c r="E40" s="66" t="str">
        <f>IF(AND(AE3&gt;=8,AE3&lt;=11), K3," ")</f>
        <v xml:space="preserve"> </v>
      </c>
      <c r="F40" s="66" t="str">
        <f>IF(AND(AE3&gt;=12,AE3&lt;=15), K3," ")</f>
        <v xml:space="preserve"> </v>
      </c>
      <c r="G40" s="66" t="str">
        <f>IF(AND(AE3&gt;=16,AE3&lt;=19), K3," ")</f>
        <v>ü</v>
      </c>
      <c r="H40" s="66" t="str">
        <f>IF(AND(AE3&gt;=20,AE3&lt;=23), K3," ")</f>
        <v xml:space="preserve"> </v>
      </c>
      <c r="I40" s="66" t="str">
        <f>IF(AND(AE3&gt;=24,AE3&lt;=27), K3," ")</f>
        <v xml:space="preserve"> </v>
      </c>
      <c r="J40" s="110">
        <v>15</v>
      </c>
      <c r="K40" s="126"/>
      <c r="L40" s="131" t="s">
        <v>148</v>
      </c>
      <c r="M40" s="132"/>
      <c r="N40" s="132"/>
      <c r="O40" s="132"/>
      <c r="P40" s="133"/>
      <c r="Q40" s="121"/>
      <c r="R40" s="213" t="s">
        <v>149</v>
      </c>
      <c r="S40" s="213"/>
      <c r="T40" s="213"/>
      <c r="U40" s="213"/>
      <c r="V40" s="213"/>
      <c r="W40" s="121"/>
      <c r="X40" s="213" t="s">
        <v>150</v>
      </c>
      <c r="Y40" s="213"/>
      <c r="Z40" s="213"/>
      <c r="AA40" s="213"/>
      <c r="AB40" s="213"/>
      <c r="AC40" s="121"/>
      <c r="AD40" s="213" t="s">
        <v>151</v>
      </c>
      <c r="AE40" s="213"/>
      <c r="AF40" s="213"/>
      <c r="AG40" s="213"/>
      <c r="AH40" s="213"/>
      <c r="AI40" s="121"/>
      <c r="AJ40" s="213" t="s">
        <v>152</v>
      </c>
      <c r="AK40" s="213"/>
      <c r="AL40" s="213"/>
      <c r="AM40" s="213"/>
      <c r="AN40" s="213"/>
      <c r="AO40" s="115"/>
      <c r="AP40" s="213" t="s">
        <v>153</v>
      </c>
      <c r="AQ40" s="213"/>
      <c r="AR40" s="213"/>
      <c r="AS40" s="213"/>
      <c r="AT40" s="213"/>
      <c r="AU40" s="115"/>
      <c r="AV40" s="134" t="s">
        <v>154</v>
      </c>
      <c r="AW40" s="134"/>
      <c r="AX40" s="134"/>
      <c r="AY40" s="134"/>
      <c r="AZ40" s="115"/>
      <c r="BA40" s="134" t="s">
        <v>155</v>
      </c>
      <c r="BB40" s="134"/>
      <c r="BC40" s="134"/>
      <c r="BD40" s="134"/>
    </row>
    <row r="41" spans="1:56" ht="14.25" customHeight="1" x14ac:dyDescent="0.25">
      <c r="A41" s="90"/>
      <c r="B41" s="90"/>
      <c r="C41" s="88"/>
      <c r="D41" s="89"/>
      <c r="E41" s="89"/>
      <c r="F41" s="89"/>
      <c r="G41" s="89"/>
      <c r="H41" s="89"/>
      <c r="I41" s="89"/>
      <c r="J41" s="110">
        <v>2</v>
      </c>
      <c r="K41" s="115"/>
      <c r="L41" s="120" t="s">
        <v>133</v>
      </c>
      <c r="M41" s="201" t="s">
        <v>141</v>
      </c>
      <c r="N41" s="202"/>
      <c r="O41" s="202"/>
      <c r="P41" s="203"/>
      <c r="Q41" s="117"/>
      <c r="R41" s="120" t="s">
        <v>133</v>
      </c>
      <c r="S41" s="201" t="s">
        <v>141</v>
      </c>
      <c r="T41" s="202"/>
      <c r="U41" s="202"/>
      <c r="V41" s="203"/>
      <c r="W41" s="117"/>
      <c r="X41" s="120" t="s">
        <v>133</v>
      </c>
      <c r="Y41" s="201" t="s">
        <v>141</v>
      </c>
      <c r="Z41" s="202"/>
      <c r="AA41" s="202"/>
      <c r="AB41" s="203"/>
      <c r="AC41" s="117"/>
      <c r="AD41" s="120" t="s">
        <v>133</v>
      </c>
      <c r="AE41" s="201" t="s">
        <v>141</v>
      </c>
      <c r="AF41" s="202"/>
      <c r="AG41" s="202"/>
      <c r="AH41" s="203"/>
      <c r="AI41" s="117"/>
      <c r="AJ41" s="120" t="s">
        <v>133</v>
      </c>
      <c r="AK41" s="201" t="s">
        <v>141</v>
      </c>
      <c r="AL41" s="202"/>
      <c r="AM41" s="202"/>
      <c r="AN41" s="203"/>
      <c r="AO41" s="115"/>
      <c r="AP41" s="120" t="s">
        <v>133</v>
      </c>
      <c r="AQ41" s="201" t="s">
        <v>141</v>
      </c>
      <c r="AR41" s="202"/>
      <c r="AS41" s="202"/>
      <c r="AT41" s="203"/>
      <c r="AU41" s="115"/>
      <c r="AV41" s="120" t="s">
        <v>133</v>
      </c>
      <c r="AW41" s="135" t="s">
        <v>141</v>
      </c>
      <c r="AX41" s="136"/>
      <c r="AY41" s="137"/>
      <c r="AZ41" s="115"/>
      <c r="BA41" s="120" t="s">
        <v>133</v>
      </c>
      <c r="BB41" s="135" t="s">
        <v>141</v>
      </c>
      <c r="BC41" s="136"/>
      <c r="BD41" s="137"/>
    </row>
    <row r="42" spans="1:56" ht="8.1" customHeight="1" x14ac:dyDescent="0.15">
      <c r="A42" s="165"/>
      <c r="B42" s="166"/>
      <c r="C42" s="166"/>
      <c r="D42" s="166"/>
      <c r="E42" s="166"/>
      <c r="F42" s="166"/>
      <c r="G42" s="166"/>
      <c r="H42" s="166"/>
      <c r="I42" s="167"/>
      <c r="J42" s="110">
        <v>3</v>
      </c>
      <c r="K42" s="115"/>
      <c r="L42" s="120" t="s">
        <v>180</v>
      </c>
      <c r="M42" s="124" t="s">
        <v>314</v>
      </c>
      <c r="N42" s="121"/>
      <c r="O42" s="121"/>
      <c r="P42" s="125"/>
      <c r="Q42" s="117"/>
      <c r="R42" s="120" t="s">
        <v>192</v>
      </c>
      <c r="S42" s="124" t="s">
        <v>322</v>
      </c>
      <c r="T42" s="121"/>
      <c r="U42" s="121"/>
      <c r="V42" s="125"/>
      <c r="W42" s="117"/>
      <c r="X42" s="120"/>
      <c r="Y42" s="124" t="s">
        <v>330</v>
      </c>
      <c r="Z42" s="121"/>
      <c r="AA42" s="121"/>
      <c r="AB42" s="125"/>
      <c r="AC42" s="117"/>
      <c r="AD42" s="120"/>
      <c r="AE42" s="124" t="s">
        <v>338</v>
      </c>
      <c r="AF42" s="121"/>
      <c r="AG42" s="121"/>
      <c r="AH42" s="125"/>
      <c r="AI42" s="117"/>
      <c r="AJ42" s="120" t="s">
        <v>201</v>
      </c>
      <c r="AK42" s="124" t="s">
        <v>346</v>
      </c>
      <c r="AL42" s="121"/>
      <c r="AM42" s="121"/>
      <c r="AN42" s="125"/>
      <c r="AO42" s="115"/>
      <c r="AP42" s="120"/>
      <c r="AQ42" s="124" t="s">
        <v>354</v>
      </c>
      <c r="AR42" s="121"/>
      <c r="AS42" s="121"/>
      <c r="AT42" s="125"/>
      <c r="AU42" s="115"/>
      <c r="AV42" s="120"/>
      <c r="AW42" s="124" t="s">
        <v>362</v>
      </c>
      <c r="AX42" s="121"/>
      <c r="AY42" s="125"/>
      <c r="AZ42" s="115"/>
      <c r="BA42" s="120" t="s">
        <v>201</v>
      </c>
      <c r="BB42" s="124" t="s">
        <v>370</v>
      </c>
      <c r="BC42" s="121"/>
      <c r="BD42" s="125"/>
    </row>
    <row r="43" spans="1:56" ht="110.1" customHeight="1" x14ac:dyDescent="0.15">
      <c r="A43" s="228" t="str" cm="1">
        <f t="array" ref="A43">IF(E18&gt;=130,L14,IF(E18&gt;=125,L15,IF(E18&gt;=123,L16,IF(E18&gt;=119,L18,IF(E18&gt;=115,L19,IF(E18&gt;=110,L20,IF(E18&gt;=109,L21,IF(E18&gt;=105,L22,IF(E18&gt;=90,L23,IF(E18&gt;=89,L24,IF(E18&gt;=85,L25,IF(E18&gt;=80,L26))))))))))))&amp;IF(M3&gt;=80,W14,IF(M3&gt;=65,W15,IF(M3&gt;=35,W16)))&amp;IF(N3&gt;=80,W17,IF(N3&gt;=65,W18,IF(N3&gt;=35,W19)))&amp;IF(O3&gt;=80,W20,IF(O3&gt;=65,W21,IF(O3&gt;=35,W22)))&amp;IF(P3&gt;=14,W25,IF(P3&gt;=12,W26,IF(P3&gt;=9,W27)))&amp;IF(Q3&gt;=26,M32,IF(Q3&gt;=22,M33,IF(Q3&gt;=19,M34,IF(Q3&gt;=15,M35,IF(Q3&gt;=12,M36,IF(Q3&gt;=8,M37,IF(Q3&gt;=1,M38)))))))&amp;IF(R3&gt;=24,S32,IF(R3&gt;=21,S33,IF(R3&gt;=17,S34,IF(R3&gt;=14,S35,IF(R3&gt;=11,S36,IF(R3&gt;=8,S37,IF(R3&gt;=0,S38)))))))&amp;IF(S3&gt;=25,Y33,IF(S3&gt;=20,Y34,IF(S3&gt;=15,Y35,IF(S3&gt;=10,Y36,IF(S3&gt;=5,Y37,IF(S3&gt;=0,Y38))))))&amp;IF(T3&gt;=17,AE32,IF(T3&gt;=14,AE33,IF(T3&gt;=11,AE34,IF(T3&gt;=8,AE35,IF(T3&gt;=4,AE36,IF(T3&gt;=0,AE37))))))&amp;IF(U3&gt;=16,AK32, IF(U3&gt;=13,AK33, IF(U3&gt;=10,AK34, IF(U3&gt;=6,AK35, IF(U3&gt;=3,AK36, IF(U3&gt;=0,AK37))))))&amp;IF(V3&gt;=23,AQ32, IF(V3&gt;=19,AQ33, IF(V3&gt;=15,AQ34, IF(V3&gt;=11,AQ35, IF(V3&gt;=7,AQ36, IF(V3&gt;=3,AQ37, IF(V3&gt;=0,AQ38)))))))&amp;IF(W3&gt;=23,AW33,IF(W3&gt;=19,AW34, IF(W3&gt;=14,AW35,IF(W3&gt;=10,AW36,IF(W3&gt;=5,AW37, IF(W3&gt;=0,AW38))))))&amp;IF(X3&gt;=19,M42,IF(X3&gt;=16,M43,IF(X3&gt;=12,M44,IF(X3&gt;=8,M45,IF(X3&gt;=4,M46,IF(X3&gt;=1,M47))))))&amp;IF(Y3&gt;=27,S42, IF(Y3&gt;=22,S43,IF(Y3&gt;=19,S44,IF(Y3&gt;=15,S45,IF(Y3&gt;=11,S46,IF(Y3&gt;=6,S47,IF(Y3&gt;=0,S48)))))))&amp;IF(Z3&gt;=26,Y43,IF(Z3&gt;=21,Y44,IF(Z3&gt;=17,Y45,IF(Z3&gt;=12,Y46,IF(Z3&gt;=7,Y47,IF(Z3&gt;=0,Y48))))))&amp;IF(AA3&gt;=26,AE43,IF(AA3&gt;=21,AE44,IF(AA3&gt;=17,AE45,IF(AA3&gt;=13, AE46,IF(AA3&gt;=8,AE47,IF(AA3&gt;=0,AE48))))))&amp;IF(AB3&gt;=24,AK42,IF(AB3&gt;=20,AK43,IF(AB3&gt;=16,AK44:AK44,IF(AB3&gt;=12,AK45,IF(AB3&gt;=8,AK46,IF(AB3&gt;=4,AK47,IF(AB3&gt;=0,AK48)))))))&amp;IF(AC3&gt;=27,AQ43,IF(AC3&gt;=23,AQ44,IF(AC3&gt;=19,AQ45,IF(AC3&gt;=14,AQ46,IF(AC3&gt;=10,AQ47,IF(AC3&gt;=0,AQ48))))))&amp;IF(AD3&gt;=18,AW43,IF(AD3&gt;=12,AW44,IF(AD3&gt;=7,AW45,IF(AD3&gt;=2,AW46,IF(AD3=1,AW47,IF(AD3=0,AW48))))))&amp;IF(AE3&gt;=24,BB42,IF(AE3&gt;=20,BB43,IF(AE3&gt;=16,BB44,IF(AE3&gt;=12,BB45,IF(AE3&gt;=8,BB46,IF(AE3&gt;=4,BB47,IF(AE3&gt;=0,BB48)))))))</f>
        <v>Ananda memiliki kecerdasan di atas rata-rata (115), kecenderungan kecepatan kerja rendah, kecenderungan ketelitian kerja rendah, kecenderungan ketahanan kerja rendah, FALSEAchievement rendah, Deference amat rendah, Order sedang, Exhibition cukup tinggi, Autonomy sedang, Affiliation cukup tinggi, Intraception amat rendah, Succorance cukup tinggi, Dominance rendah, Abasement amat rendah, Nurturance rendah, Change sedang, Endurance amat rendah, Heterosexuality sedang, Aggression cukup tinggi.</v>
      </c>
      <c r="B43" s="229"/>
      <c r="C43" s="229"/>
      <c r="D43" s="229"/>
      <c r="E43" s="229"/>
      <c r="F43" s="229"/>
      <c r="G43" s="229"/>
      <c r="H43" s="229"/>
      <c r="I43" s="230"/>
      <c r="J43" s="110">
        <v>4</v>
      </c>
      <c r="K43" s="115"/>
      <c r="L43" s="120" t="s">
        <v>188</v>
      </c>
      <c r="M43" s="127" t="s">
        <v>315</v>
      </c>
      <c r="N43" s="121"/>
      <c r="O43" s="121"/>
      <c r="P43" s="125"/>
      <c r="Q43" s="117"/>
      <c r="R43" s="120" t="s">
        <v>228</v>
      </c>
      <c r="S43" s="127" t="s">
        <v>323</v>
      </c>
      <c r="T43" s="121"/>
      <c r="U43" s="121"/>
      <c r="V43" s="125"/>
      <c r="W43" s="117"/>
      <c r="X43" s="120" t="s">
        <v>134</v>
      </c>
      <c r="Y43" s="127" t="s">
        <v>331</v>
      </c>
      <c r="Z43" s="121"/>
      <c r="AA43" s="121"/>
      <c r="AB43" s="125"/>
      <c r="AC43" s="117"/>
      <c r="AD43" s="120" t="s">
        <v>134</v>
      </c>
      <c r="AE43" s="127" t="s">
        <v>339</v>
      </c>
      <c r="AF43" s="121"/>
      <c r="AG43" s="121"/>
      <c r="AH43" s="125"/>
      <c r="AI43" s="117"/>
      <c r="AJ43" s="120" t="s">
        <v>200</v>
      </c>
      <c r="AK43" s="127" t="s">
        <v>347</v>
      </c>
      <c r="AL43" s="121"/>
      <c r="AM43" s="121"/>
      <c r="AN43" s="125"/>
      <c r="AO43" s="115"/>
      <c r="AP43" s="120" t="s">
        <v>192</v>
      </c>
      <c r="AQ43" s="127" t="s">
        <v>355</v>
      </c>
      <c r="AR43" s="121"/>
      <c r="AS43" s="121"/>
      <c r="AT43" s="125"/>
      <c r="AU43" s="115"/>
      <c r="AV43" s="120" t="s">
        <v>207</v>
      </c>
      <c r="AW43" s="127" t="s">
        <v>363</v>
      </c>
      <c r="AX43" s="121"/>
      <c r="AY43" s="125"/>
      <c r="AZ43" s="115"/>
      <c r="BA43" s="120" t="s">
        <v>200</v>
      </c>
      <c r="BB43" s="127" t="s">
        <v>371</v>
      </c>
      <c r="BC43" s="121"/>
      <c r="BD43" s="125"/>
    </row>
    <row r="44" spans="1:56" ht="5.0999999999999996" customHeight="1" x14ac:dyDescent="0.15">
      <c r="A44" s="168"/>
      <c r="B44" s="169"/>
      <c r="C44" s="169"/>
      <c r="D44" s="169"/>
      <c r="E44" s="169"/>
      <c r="F44" s="169"/>
      <c r="G44" s="169"/>
      <c r="H44" s="169"/>
      <c r="I44" s="170"/>
      <c r="J44" s="110">
        <v>5</v>
      </c>
      <c r="K44" s="115"/>
      <c r="L44" s="120" t="s">
        <v>225</v>
      </c>
      <c r="M44" s="127" t="s">
        <v>316</v>
      </c>
      <c r="N44" s="121"/>
      <c r="O44" s="121"/>
      <c r="P44" s="125"/>
      <c r="Q44" s="117"/>
      <c r="R44" s="120" t="s">
        <v>227</v>
      </c>
      <c r="S44" s="127" t="s">
        <v>324</v>
      </c>
      <c r="T44" s="121"/>
      <c r="U44" s="121"/>
      <c r="V44" s="125"/>
      <c r="W44" s="117"/>
      <c r="X44" s="120" t="s">
        <v>197</v>
      </c>
      <c r="Y44" s="127" t="s">
        <v>332</v>
      </c>
      <c r="Z44" s="121"/>
      <c r="AA44" s="121"/>
      <c r="AB44" s="125"/>
      <c r="AC44" s="117"/>
      <c r="AD44" s="120" t="s">
        <v>197</v>
      </c>
      <c r="AE44" s="127" t="s">
        <v>340</v>
      </c>
      <c r="AF44" s="121"/>
      <c r="AG44" s="121"/>
      <c r="AH44" s="125"/>
      <c r="AI44" s="117"/>
      <c r="AJ44" s="120" t="s">
        <v>175</v>
      </c>
      <c r="AK44" s="127" t="s">
        <v>348</v>
      </c>
      <c r="AL44" s="121"/>
      <c r="AM44" s="121"/>
      <c r="AN44" s="125"/>
      <c r="AO44" s="115"/>
      <c r="AP44" s="120" t="s">
        <v>203</v>
      </c>
      <c r="AQ44" s="127" t="s">
        <v>356</v>
      </c>
      <c r="AR44" s="121"/>
      <c r="AS44" s="121"/>
      <c r="AT44" s="125"/>
      <c r="AU44" s="115"/>
      <c r="AV44" s="120" t="s">
        <v>231</v>
      </c>
      <c r="AW44" s="127" t="s">
        <v>364</v>
      </c>
      <c r="AX44" s="121"/>
      <c r="AY44" s="125"/>
      <c r="AZ44" s="115"/>
      <c r="BA44" s="120" t="s">
        <v>175</v>
      </c>
      <c r="BB44" s="127" t="s">
        <v>372</v>
      </c>
      <c r="BC44" s="121"/>
      <c r="BD44" s="125"/>
    </row>
    <row r="45" spans="1:56" ht="14.25" customHeight="1" x14ac:dyDescent="0.15">
      <c r="A45" s="91"/>
      <c r="B45" s="91"/>
      <c r="C45" s="91"/>
      <c r="D45" s="91"/>
      <c r="E45" s="91"/>
      <c r="F45" s="91"/>
      <c r="G45" s="91"/>
      <c r="H45" s="91"/>
      <c r="I45" s="91"/>
      <c r="J45" s="110">
        <v>6</v>
      </c>
      <c r="K45" s="115"/>
      <c r="L45" s="120" t="s">
        <v>199</v>
      </c>
      <c r="M45" s="127" t="s">
        <v>317</v>
      </c>
      <c r="N45" s="121"/>
      <c r="O45" s="121"/>
      <c r="P45" s="125"/>
      <c r="Q45" s="117"/>
      <c r="R45" s="120" t="s">
        <v>226</v>
      </c>
      <c r="S45" s="127" t="s">
        <v>325</v>
      </c>
      <c r="T45" s="121"/>
      <c r="U45" s="121"/>
      <c r="V45" s="125"/>
      <c r="W45" s="117"/>
      <c r="X45" s="120" t="s">
        <v>196</v>
      </c>
      <c r="Y45" s="127" t="s">
        <v>333</v>
      </c>
      <c r="Z45" s="121"/>
      <c r="AA45" s="121"/>
      <c r="AB45" s="125"/>
      <c r="AC45" s="117"/>
      <c r="AD45" s="120" t="s">
        <v>196</v>
      </c>
      <c r="AE45" s="127" t="s">
        <v>341</v>
      </c>
      <c r="AF45" s="121"/>
      <c r="AG45" s="121"/>
      <c r="AH45" s="125"/>
      <c r="AI45" s="117"/>
      <c r="AJ45" s="120" t="s">
        <v>225</v>
      </c>
      <c r="AK45" s="127" t="s">
        <v>349</v>
      </c>
      <c r="AL45" s="121"/>
      <c r="AM45" s="121"/>
      <c r="AN45" s="125"/>
      <c r="AO45" s="115"/>
      <c r="AP45" s="120" t="s">
        <v>180</v>
      </c>
      <c r="AQ45" s="127" t="s">
        <v>357</v>
      </c>
      <c r="AR45" s="121"/>
      <c r="AS45" s="121"/>
      <c r="AT45" s="125"/>
      <c r="AU45" s="115"/>
      <c r="AV45" s="120" t="s">
        <v>230</v>
      </c>
      <c r="AW45" s="127" t="s">
        <v>365</v>
      </c>
      <c r="AX45" s="121"/>
      <c r="AY45" s="125"/>
      <c r="AZ45" s="115"/>
      <c r="BA45" s="120" t="s">
        <v>225</v>
      </c>
      <c r="BB45" s="127" t="s">
        <v>373</v>
      </c>
      <c r="BC45" s="121"/>
      <c r="BD45" s="125"/>
    </row>
    <row r="46" spans="1:56" ht="14.25" customHeight="1" x14ac:dyDescent="0.15">
      <c r="A46" s="91"/>
      <c r="B46" s="91"/>
      <c r="C46" s="91"/>
      <c r="D46" s="91"/>
      <c r="E46" s="91"/>
      <c r="F46" s="91"/>
      <c r="G46" s="91"/>
      <c r="H46" s="91"/>
      <c r="I46" s="91"/>
      <c r="J46" s="110">
        <v>7</v>
      </c>
      <c r="K46" s="115"/>
      <c r="L46" s="120" t="s">
        <v>187</v>
      </c>
      <c r="M46" s="127" t="s">
        <v>318</v>
      </c>
      <c r="N46" s="121"/>
      <c r="O46" s="121"/>
      <c r="P46" s="125"/>
      <c r="Q46" s="115"/>
      <c r="R46" s="120" t="s">
        <v>191</v>
      </c>
      <c r="S46" s="127" t="s">
        <v>326</v>
      </c>
      <c r="T46" s="121"/>
      <c r="U46" s="121"/>
      <c r="V46" s="125"/>
      <c r="W46" s="115"/>
      <c r="X46" s="120" t="s">
        <v>195</v>
      </c>
      <c r="Y46" s="127" t="s">
        <v>334</v>
      </c>
      <c r="Z46" s="121"/>
      <c r="AA46" s="121"/>
      <c r="AB46" s="125"/>
      <c r="AC46" s="115"/>
      <c r="AD46" s="120" t="s">
        <v>198</v>
      </c>
      <c r="AE46" s="127" t="s">
        <v>342</v>
      </c>
      <c r="AF46" s="121"/>
      <c r="AG46" s="121"/>
      <c r="AH46" s="125"/>
      <c r="AI46" s="115"/>
      <c r="AJ46" s="120" t="s">
        <v>199</v>
      </c>
      <c r="AK46" s="127" t="s">
        <v>350</v>
      </c>
      <c r="AL46" s="121"/>
      <c r="AM46" s="121"/>
      <c r="AN46" s="125"/>
      <c r="AO46" s="115"/>
      <c r="AP46" s="120" t="s">
        <v>181</v>
      </c>
      <c r="AQ46" s="127" t="s">
        <v>358</v>
      </c>
      <c r="AR46" s="121"/>
      <c r="AS46" s="121"/>
      <c r="AT46" s="125"/>
      <c r="AU46" s="115"/>
      <c r="AV46" s="120" t="s">
        <v>206</v>
      </c>
      <c r="AW46" s="127" t="s">
        <v>366</v>
      </c>
      <c r="AX46" s="121"/>
      <c r="AY46" s="125"/>
      <c r="AZ46" s="115"/>
      <c r="BA46" s="120" t="s">
        <v>199</v>
      </c>
      <c r="BB46" s="127" t="s">
        <v>374</v>
      </c>
      <c r="BC46" s="121"/>
      <c r="BD46" s="125"/>
    </row>
    <row r="47" spans="1:56" ht="14.25" customHeight="1" x14ac:dyDescent="0.2">
      <c r="A47" s="90"/>
      <c r="B47" s="90"/>
      <c r="C47" s="90"/>
      <c r="D47" s="90"/>
      <c r="F47" s="90"/>
      <c r="G47" s="90"/>
      <c r="H47" s="90"/>
      <c r="I47" s="90"/>
      <c r="J47" s="110">
        <v>8</v>
      </c>
      <c r="K47" s="115"/>
      <c r="L47" s="120" t="s">
        <v>186</v>
      </c>
      <c r="M47" s="127" t="s">
        <v>319</v>
      </c>
      <c r="N47" s="121"/>
      <c r="O47" s="121"/>
      <c r="P47" s="125"/>
      <c r="Q47" s="115"/>
      <c r="R47" s="120" t="s">
        <v>190</v>
      </c>
      <c r="S47" s="127" t="s">
        <v>327</v>
      </c>
      <c r="T47" s="121"/>
      <c r="U47" s="121"/>
      <c r="V47" s="125"/>
      <c r="W47" s="115"/>
      <c r="X47" s="120" t="s">
        <v>194</v>
      </c>
      <c r="Y47" s="127" t="s">
        <v>335</v>
      </c>
      <c r="Z47" s="121"/>
      <c r="AA47" s="121"/>
      <c r="AB47" s="125"/>
      <c r="AC47" s="115"/>
      <c r="AD47" s="120" t="s">
        <v>229</v>
      </c>
      <c r="AE47" s="127" t="s">
        <v>343</v>
      </c>
      <c r="AF47" s="121"/>
      <c r="AG47" s="121"/>
      <c r="AH47" s="125"/>
      <c r="AI47" s="115"/>
      <c r="AJ47" s="120" t="s">
        <v>187</v>
      </c>
      <c r="AK47" s="127" t="s">
        <v>351</v>
      </c>
      <c r="AL47" s="121"/>
      <c r="AM47" s="121"/>
      <c r="AN47" s="125"/>
      <c r="AO47" s="115"/>
      <c r="AP47" s="120" t="s">
        <v>183</v>
      </c>
      <c r="AQ47" s="127" t="s">
        <v>359</v>
      </c>
      <c r="AR47" s="121"/>
      <c r="AS47" s="121"/>
      <c r="AT47" s="125"/>
      <c r="AU47" s="115"/>
      <c r="AV47" s="120" t="s">
        <v>205</v>
      </c>
      <c r="AW47" s="127" t="s">
        <v>367</v>
      </c>
      <c r="AX47" s="121"/>
      <c r="AY47" s="125"/>
      <c r="AZ47" s="115"/>
      <c r="BA47" s="120" t="s">
        <v>187</v>
      </c>
      <c r="BB47" s="127" t="s">
        <v>375</v>
      </c>
      <c r="BC47" s="121"/>
      <c r="BD47" s="125"/>
    </row>
    <row r="48" spans="1:56" ht="14.25" customHeight="1" x14ac:dyDescent="0.15">
      <c r="A48" s="90"/>
      <c r="B48" s="90"/>
      <c r="C48" s="90"/>
      <c r="D48" s="90"/>
      <c r="E48" s="92" t="s">
        <v>378</v>
      </c>
      <c r="F48" s="90"/>
      <c r="G48" s="90"/>
      <c r="H48" s="90"/>
      <c r="I48" s="90"/>
      <c r="J48" s="110">
        <v>9</v>
      </c>
      <c r="K48" s="115"/>
      <c r="L48" s="120"/>
      <c r="M48" s="128" t="s">
        <v>320</v>
      </c>
      <c r="N48" s="129"/>
      <c r="O48" s="129"/>
      <c r="P48" s="130"/>
      <c r="Q48" s="115"/>
      <c r="R48" s="120" t="s">
        <v>189</v>
      </c>
      <c r="S48" s="128" t="s">
        <v>328</v>
      </c>
      <c r="T48" s="129"/>
      <c r="U48" s="129"/>
      <c r="V48" s="130"/>
      <c r="W48" s="115"/>
      <c r="X48" s="120" t="s">
        <v>193</v>
      </c>
      <c r="Y48" s="128" t="s">
        <v>336</v>
      </c>
      <c r="Z48" s="129"/>
      <c r="AA48" s="129"/>
      <c r="AB48" s="130"/>
      <c r="AC48" s="115"/>
      <c r="AD48" s="120" t="s">
        <v>139</v>
      </c>
      <c r="AE48" s="128" t="s">
        <v>344</v>
      </c>
      <c r="AF48" s="129"/>
      <c r="AG48" s="129"/>
      <c r="AH48" s="130"/>
      <c r="AI48" s="115"/>
      <c r="AJ48" s="120" t="s">
        <v>168</v>
      </c>
      <c r="AK48" s="128" t="s">
        <v>352</v>
      </c>
      <c r="AL48" s="129"/>
      <c r="AM48" s="129"/>
      <c r="AN48" s="130"/>
      <c r="AO48" s="115"/>
      <c r="AP48" s="120" t="s">
        <v>202</v>
      </c>
      <c r="AQ48" s="128" t="s">
        <v>360</v>
      </c>
      <c r="AR48" s="129"/>
      <c r="AS48" s="129"/>
      <c r="AT48" s="130"/>
      <c r="AU48" s="115"/>
      <c r="AV48" s="120" t="s">
        <v>204</v>
      </c>
      <c r="AW48" s="128" t="s">
        <v>368</v>
      </c>
      <c r="AX48" s="129"/>
      <c r="AY48" s="130"/>
      <c r="AZ48" s="115"/>
      <c r="BA48" s="120" t="s">
        <v>168</v>
      </c>
      <c r="BB48" s="128" t="s">
        <v>376</v>
      </c>
      <c r="BC48" s="129"/>
      <c r="BD48" s="130"/>
    </row>
    <row r="49" spans="1:56" ht="14.25" customHeight="1" x14ac:dyDescent="0.15">
      <c r="A49" s="90"/>
      <c r="B49" s="90"/>
      <c r="C49" s="90"/>
      <c r="D49" s="90"/>
      <c r="E49" s="92"/>
      <c r="F49" s="90"/>
      <c r="G49" s="90"/>
      <c r="H49" s="90"/>
      <c r="I49" s="90"/>
      <c r="J49" s="110">
        <v>10</v>
      </c>
      <c r="K49" s="115"/>
      <c r="L49" s="115"/>
      <c r="M49" s="115"/>
      <c r="N49" s="115"/>
      <c r="O49" s="115"/>
      <c r="P49" s="115"/>
      <c r="Q49" s="115"/>
      <c r="R49" s="115"/>
      <c r="S49" s="115"/>
      <c r="T49" s="115"/>
      <c r="U49" s="115"/>
      <c r="V49" s="115"/>
      <c r="W49" s="115"/>
      <c r="X49" s="115"/>
      <c r="Y49" s="115"/>
      <c r="Z49" s="115"/>
      <c r="AA49" s="115"/>
      <c r="AB49" s="115"/>
      <c r="AC49" s="115"/>
      <c r="AD49" s="115"/>
      <c r="AE49" s="115"/>
      <c r="AF49" s="115"/>
      <c r="AG49" s="115"/>
      <c r="AH49" s="115"/>
      <c r="AI49" s="115"/>
      <c r="AJ49" s="115"/>
      <c r="AK49" s="115"/>
      <c r="AL49" s="115"/>
      <c r="AM49" s="115"/>
      <c r="AN49" s="115"/>
      <c r="AO49" s="115"/>
      <c r="AP49" s="115"/>
      <c r="AQ49" s="115"/>
      <c r="AR49" s="115"/>
      <c r="AS49" s="115"/>
      <c r="AT49" s="115"/>
      <c r="AU49" s="115"/>
      <c r="AV49" s="115"/>
      <c r="AW49" s="115"/>
      <c r="AX49" s="115"/>
      <c r="AY49" s="115"/>
      <c r="AZ49" s="115"/>
      <c r="BA49" s="115"/>
      <c r="BB49" s="115"/>
      <c r="BC49" s="115"/>
      <c r="BD49" s="115"/>
    </row>
    <row r="50" spans="1:56" ht="27" customHeight="1" x14ac:dyDescent="0.15">
      <c r="A50" s="90"/>
      <c r="B50" s="90"/>
      <c r="C50" s="90"/>
      <c r="D50" s="90"/>
      <c r="E50" s="90"/>
      <c r="F50" s="90"/>
      <c r="G50" s="90"/>
      <c r="H50" s="90"/>
      <c r="I50" s="90"/>
      <c r="J50" s="110"/>
      <c r="K50" s="115"/>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c r="AY50" s="115"/>
      <c r="AZ50" s="115"/>
      <c r="BA50" s="115"/>
      <c r="BB50" s="115"/>
      <c r="BC50" s="115"/>
      <c r="BD50" s="115"/>
    </row>
    <row r="51" spans="1:56" ht="18.95" customHeight="1" x14ac:dyDescent="0.15">
      <c r="A51" s="90"/>
      <c r="B51" s="90"/>
      <c r="C51" s="90"/>
      <c r="D51" s="90"/>
      <c r="E51" s="92" t="s">
        <v>81</v>
      </c>
      <c r="F51" s="90"/>
      <c r="G51" s="90"/>
      <c r="H51" s="90"/>
      <c r="I51" s="90"/>
      <c r="J51" s="110"/>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5"/>
      <c r="AZ51" s="115"/>
      <c r="BA51" s="115"/>
      <c r="BB51" s="115"/>
      <c r="BC51" s="115"/>
      <c r="BD51" s="115"/>
    </row>
    <row r="52" spans="1:56" ht="18.95" customHeight="1" x14ac:dyDescent="0.15">
      <c r="A52" s="90"/>
      <c r="B52" s="90"/>
      <c r="C52" s="90"/>
      <c r="D52" s="90"/>
      <c r="E52" s="92" t="s">
        <v>82</v>
      </c>
      <c r="F52" s="90"/>
      <c r="G52" s="90"/>
      <c r="H52" s="90"/>
      <c r="I52" s="90"/>
      <c r="J52" s="110"/>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c r="AY52" s="115"/>
      <c r="AZ52" s="115"/>
      <c r="BA52" s="115"/>
      <c r="BB52" s="115"/>
      <c r="BC52" s="115"/>
      <c r="BD52" s="115"/>
    </row>
    <row r="53" spans="1:56" ht="10.5" customHeight="1" x14ac:dyDescent="0.15">
      <c r="A53" s="90"/>
      <c r="B53" s="90"/>
      <c r="C53" s="90"/>
      <c r="D53" s="90"/>
      <c r="E53" s="90"/>
      <c r="F53" s="90"/>
      <c r="G53" s="90"/>
      <c r="H53" s="90"/>
      <c r="I53" s="90"/>
      <c r="J53" s="110"/>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c r="AY53" s="115"/>
      <c r="AZ53" s="115"/>
      <c r="BA53" s="115"/>
      <c r="BB53" s="115"/>
      <c r="BC53" s="115"/>
      <c r="BD53" s="115"/>
    </row>
    <row r="54" spans="1:56" ht="14.25" x14ac:dyDescent="0.15">
      <c r="A54" s="90"/>
      <c r="B54" s="90"/>
      <c r="C54" s="90"/>
      <c r="D54" s="90"/>
      <c r="E54" s="90"/>
      <c r="F54" s="90"/>
      <c r="G54" s="90"/>
      <c r="H54" s="90"/>
      <c r="I54" s="90"/>
      <c r="J54" s="110"/>
    </row>
    <row r="55" spans="1:56" ht="14.25" x14ac:dyDescent="0.15">
      <c r="A55" s="90"/>
      <c r="B55" s="90"/>
      <c r="C55" s="90"/>
      <c r="D55" s="90"/>
      <c r="E55" s="90"/>
      <c r="F55" s="90"/>
      <c r="G55" s="90"/>
      <c r="H55" s="90"/>
      <c r="I55" s="90"/>
      <c r="J55" s="110"/>
      <c r="M55" s="198" t="s">
        <v>209</v>
      </c>
      <c r="N55" s="199"/>
      <c r="O55" s="199"/>
      <c r="P55" s="199"/>
      <c r="Q55" s="200"/>
      <c r="R55" s="115"/>
      <c r="S55" s="198" t="s">
        <v>210</v>
      </c>
      <c r="T55" s="199"/>
      <c r="U55" s="199"/>
      <c r="V55" s="199"/>
      <c r="W55" s="200"/>
      <c r="X55" s="115"/>
      <c r="Y55" s="198" t="s">
        <v>212</v>
      </c>
      <c r="Z55" s="199"/>
      <c r="AA55" s="199"/>
      <c r="AB55" s="199"/>
      <c r="AC55" s="200"/>
      <c r="AD55" s="115"/>
      <c r="AE55" s="198" t="s">
        <v>213</v>
      </c>
      <c r="AF55" s="199"/>
      <c r="AG55" s="199"/>
      <c r="AH55" s="199"/>
      <c r="AI55" s="200"/>
      <c r="AJ55" s="115"/>
      <c r="AK55" s="198" t="s">
        <v>214</v>
      </c>
      <c r="AL55" s="199"/>
      <c r="AM55" s="199"/>
      <c r="AN55" s="199"/>
      <c r="AO55" s="200"/>
      <c r="AP55" s="115"/>
      <c r="AQ55" s="198" t="s">
        <v>215</v>
      </c>
      <c r="AR55" s="199"/>
      <c r="AS55" s="199"/>
      <c r="AT55" s="199"/>
      <c r="AU55" s="200"/>
      <c r="AV55" s="115"/>
    </row>
    <row r="56" spans="1:56" ht="14.25" x14ac:dyDescent="0.15">
      <c r="A56" s="90"/>
      <c r="B56" s="90"/>
      <c r="C56" s="90"/>
      <c r="D56" s="90"/>
      <c r="E56" s="90"/>
      <c r="F56" s="90"/>
      <c r="G56" s="90"/>
      <c r="H56" s="90"/>
      <c r="I56" s="90"/>
      <c r="J56" s="110"/>
      <c r="M56" s="120" t="s">
        <v>133</v>
      </c>
      <c r="N56" s="201" t="s">
        <v>141</v>
      </c>
      <c r="O56" s="202"/>
      <c r="P56" s="202"/>
      <c r="Q56" s="203"/>
      <c r="R56" s="115"/>
      <c r="S56" s="120" t="s">
        <v>133</v>
      </c>
      <c r="T56" s="201" t="s">
        <v>141</v>
      </c>
      <c r="U56" s="202"/>
      <c r="V56" s="202"/>
      <c r="W56" s="203"/>
      <c r="X56" s="115"/>
      <c r="Y56" s="120" t="s">
        <v>133</v>
      </c>
      <c r="Z56" s="201" t="s">
        <v>141</v>
      </c>
      <c r="AA56" s="202"/>
      <c r="AB56" s="202"/>
      <c r="AC56" s="203"/>
      <c r="AD56" s="115"/>
      <c r="AE56" s="120" t="s">
        <v>133</v>
      </c>
      <c r="AF56" s="201" t="s">
        <v>141</v>
      </c>
      <c r="AG56" s="202"/>
      <c r="AH56" s="202"/>
      <c r="AI56" s="203"/>
      <c r="AJ56" s="115"/>
      <c r="AK56" s="120" t="s">
        <v>133</v>
      </c>
      <c r="AL56" s="201" t="s">
        <v>141</v>
      </c>
      <c r="AM56" s="202"/>
      <c r="AN56" s="202"/>
      <c r="AO56" s="203"/>
      <c r="AP56" s="115"/>
      <c r="AQ56" s="120" t="s">
        <v>133</v>
      </c>
      <c r="AR56" s="201" t="s">
        <v>141</v>
      </c>
      <c r="AS56" s="202"/>
      <c r="AT56" s="202"/>
      <c r="AU56" s="203"/>
      <c r="AV56" s="115"/>
    </row>
    <row r="57" spans="1:56" ht="14.25" x14ac:dyDescent="0.15">
      <c r="A57" s="90"/>
      <c r="B57" s="90"/>
      <c r="C57" s="90"/>
      <c r="D57" s="90"/>
      <c r="E57" s="90"/>
      <c r="F57" s="90"/>
      <c r="G57" s="90"/>
      <c r="H57" s="90"/>
      <c r="I57" s="90"/>
      <c r="J57" s="110"/>
      <c r="M57" s="120" t="s">
        <v>208</v>
      </c>
      <c r="N57" s="124" t="s">
        <v>237</v>
      </c>
      <c r="O57" s="121"/>
      <c r="P57" s="121"/>
      <c r="Q57" s="125"/>
      <c r="R57" s="115"/>
      <c r="S57" s="120" t="s">
        <v>211</v>
      </c>
      <c r="T57" s="124" t="s">
        <v>238</v>
      </c>
      <c r="U57" s="121"/>
      <c r="V57" s="121"/>
      <c r="W57" s="125"/>
      <c r="X57" s="115"/>
      <c r="Y57" s="120" t="s">
        <v>232</v>
      </c>
      <c r="Z57" s="124" t="s">
        <v>237</v>
      </c>
      <c r="AA57" s="121"/>
      <c r="AB57" s="121"/>
      <c r="AC57" s="125"/>
      <c r="AD57" s="115"/>
      <c r="AE57" s="120" t="s">
        <v>233</v>
      </c>
      <c r="AF57" s="124" t="s">
        <v>237</v>
      </c>
      <c r="AG57" s="121"/>
      <c r="AH57" s="121"/>
      <c r="AI57" s="125"/>
      <c r="AJ57" s="115"/>
      <c r="AK57" s="120" t="s">
        <v>234</v>
      </c>
      <c r="AL57" s="124" t="s">
        <v>239</v>
      </c>
      <c r="AM57" s="121"/>
      <c r="AN57" s="121"/>
      <c r="AO57" s="125"/>
      <c r="AP57" s="115"/>
      <c r="AQ57" s="120" t="s">
        <v>235</v>
      </c>
      <c r="AR57" s="124" t="s">
        <v>240</v>
      </c>
      <c r="AS57" s="121"/>
      <c r="AT57" s="121"/>
      <c r="AU57" s="125"/>
      <c r="AV57" s="115"/>
    </row>
    <row r="58" spans="1:56" ht="14.25" x14ac:dyDescent="0.15">
      <c r="A58" s="90"/>
      <c r="B58" s="90"/>
      <c r="C58" s="90"/>
      <c r="D58" s="90"/>
      <c r="E58" s="90"/>
      <c r="F58" s="90"/>
      <c r="G58" s="90"/>
      <c r="H58" s="90"/>
      <c r="I58" s="90"/>
      <c r="J58" s="110"/>
      <c r="M58" s="120"/>
      <c r="N58" s="127"/>
      <c r="O58" s="121"/>
      <c r="P58" s="121"/>
      <c r="Q58" s="125"/>
      <c r="R58" s="115"/>
      <c r="S58" s="120"/>
      <c r="T58" s="128"/>
      <c r="U58" s="129"/>
      <c r="V58" s="129"/>
      <c r="W58" s="130"/>
      <c r="X58" s="115"/>
      <c r="Y58" s="120"/>
      <c r="Z58" s="128"/>
      <c r="AA58" s="129"/>
      <c r="AB58" s="129"/>
      <c r="AC58" s="130"/>
      <c r="AD58" s="115"/>
      <c r="AE58" s="120"/>
      <c r="AF58" s="128"/>
      <c r="AG58" s="129"/>
      <c r="AH58" s="129"/>
      <c r="AI58" s="130"/>
      <c r="AJ58" s="115"/>
      <c r="AK58" s="120"/>
      <c r="AL58" s="128"/>
      <c r="AM58" s="129"/>
      <c r="AN58" s="129"/>
      <c r="AO58" s="130"/>
      <c r="AP58" s="115"/>
      <c r="AQ58" s="120"/>
      <c r="AR58" s="128"/>
      <c r="AS58" s="129"/>
      <c r="AT58" s="129"/>
      <c r="AU58" s="130"/>
      <c r="AV58" s="115"/>
    </row>
    <row r="59" spans="1:56" x14ac:dyDescent="0.2">
      <c r="J59" s="110"/>
      <c r="M59" s="120"/>
      <c r="N59" s="127"/>
      <c r="O59" s="121"/>
      <c r="P59" s="121"/>
      <c r="Q59" s="12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row>
    <row r="60" spans="1:56" x14ac:dyDescent="0.2">
      <c r="J60" s="110"/>
      <c r="M60" s="120"/>
      <c r="N60" s="127"/>
      <c r="O60" s="121"/>
      <c r="P60" s="121"/>
      <c r="Q60" s="12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row>
    <row r="61" spans="1:56" x14ac:dyDescent="0.2">
      <c r="J61" s="110"/>
      <c r="M61" s="120"/>
      <c r="N61" s="127"/>
      <c r="O61" s="121"/>
      <c r="P61" s="121"/>
      <c r="Q61" s="125"/>
      <c r="R61" s="115"/>
      <c r="S61" s="198" t="s">
        <v>218</v>
      </c>
      <c r="T61" s="199"/>
      <c r="U61" s="199"/>
      <c r="V61" s="199"/>
      <c r="W61" s="200"/>
      <c r="X61" s="115"/>
      <c r="Y61" s="198" t="s">
        <v>216</v>
      </c>
      <c r="Z61" s="199"/>
      <c r="AA61" s="199"/>
      <c r="AB61" s="199"/>
      <c r="AC61" s="200"/>
      <c r="AD61" s="115"/>
      <c r="AE61" s="198" t="s">
        <v>219</v>
      </c>
      <c r="AF61" s="199"/>
      <c r="AG61" s="199"/>
      <c r="AH61" s="199"/>
      <c r="AI61" s="200"/>
      <c r="AJ61" s="115"/>
      <c r="AK61" s="198"/>
      <c r="AL61" s="199"/>
      <c r="AM61" s="199"/>
      <c r="AN61" s="199"/>
      <c r="AO61" s="200"/>
      <c r="AP61" s="115"/>
      <c r="AQ61" s="115"/>
      <c r="AR61" s="115"/>
      <c r="AS61" s="115"/>
      <c r="AT61" s="115"/>
      <c r="AU61" s="115"/>
      <c r="AV61" s="115"/>
    </row>
    <row r="62" spans="1:56" x14ac:dyDescent="0.2">
      <c r="J62" s="110"/>
      <c r="M62" s="120"/>
      <c r="N62" s="127"/>
      <c r="O62" s="121"/>
      <c r="P62" s="121"/>
      <c r="Q62" s="125"/>
      <c r="R62" s="115"/>
      <c r="S62" s="120" t="s">
        <v>133</v>
      </c>
      <c r="T62" s="201" t="s">
        <v>141</v>
      </c>
      <c r="U62" s="202"/>
      <c r="V62" s="202"/>
      <c r="W62" s="203"/>
      <c r="X62" s="115"/>
      <c r="Y62" s="120" t="s">
        <v>133</v>
      </c>
      <c r="Z62" s="201" t="s">
        <v>141</v>
      </c>
      <c r="AA62" s="202"/>
      <c r="AB62" s="202"/>
      <c r="AC62" s="203"/>
      <c r="AD62" s="115"/>
      <c r="AE62" s="120" t="s">
        <v>133</v>
      </c>
      <c r="AF62" s="201" t="s">
        <v>141</v>
      </c>
      <c r="AG62" s="202"/>
      <c r="AH62" s="202"/>
      <c r="AI62" s="203"/>
      <c r="AJ62" s="115"/>
      <c r="AK62" s="120"/>
      <c r="AL62" s="201"/>
      <c r="AM62" s="202"/>
      <c r="AN62" s="202"/>
      <c r="AO62" s="203"/>
      <c r="AP62" s="115"/>
      <c r="AQ62" s="115"/>
      <c r="AR62" s="115"/>
      <c r="AS62" s="115"/>
      <c r="AT62" s="115"/>
      <c r="AU62" s="115"/>
      <c r="AV62" s="115"/>
    </row>
    <row r="63" spans="1:56" x14ac:dyDescent="0.2">
      <c r="J63" s="110"/>
      <c r="M63" s="120"/>
      <c r="N63" s="128"/>
      <c r="O63" s="129"/>
      <c r="P63" s="129"/>
      <c r="Q63" s="130"/>
      <c r="R63" s="115"/>
      <c r="S63" s="120" t="s">
        <v>236</v>
      </c>
      <c r="T63" s="124" t="s">
        <v>242</v>
      </c>
      <c r="U63" s="121"/>
      <c r="V63" s="121"/>
      <c r="W63" s="125"/>
      <c r="X63" s="115"/>
      <c r="Y63" s="120" t="s">
        <v>235</v>
      </c>
      <c r="Z63" s="124" t="s">
        <v>241</v>
      </c>
      <c r="AA63" s="121"/>
      <c r="AB63" s="121"/>
      <c r="AC63" s="125"/>
      <c r="AD63" s="115"/>
      <c r="AE63" s="120" t="s">
        <v>217</v>
      </c>
      <c r="AF63" s="124" t="s">
        <v>241</v>
      </c>
      <c r="AG63" s="121"/>
      <c r="AH63" s="121"/>
      <c r="AI63" s="125"/>
      <c r="AJ63" s="115"/>
      <c r="AK63" s="120"/>
      <c r="AL63" s="124"/>
      <c r="AM63" s="121"/>
      <c r="AN63" s="121"/>
      <c r="AO63" s="125"/>
      <c r="AP63" s="115"/>
      <c r="AQ63" s="115"/>
      <c r="AR63" s="115"/>
      <c r="AS63" s="115"/>
      <c r="AT63" s="115"/>
      <c r="AU63" s="115"/>
      <c r="AV63" s="115"/>
    </row>
    <row r="64" spans="1:56" x14ac:dyDescent="0.2">
      <c r="J64" s="110"/>
      <c r="M64" s="115"/>
      <c r="N64" s="115"/>
      <c r="O64" s="115"/>
      <c r="P64" s="115"/>
      <c r="Q64" s="115"/>
      <c r="R64" s="115"/>
      <c r="S64" s="120"/>
      <c r="T64" s="128"/>
      <c r="U64" s="129"/>
      <c r="V64" s="129"/>
      <c r="W64" s="130"/>
      <c r="X64" s="115"/>
      <c r="Y64" s="120"/>
      <c r="Z64" s="128"/>
      <c r="AA64" s="129"/>
      <c r="AB64" s="129"/>
      <c r="AC64" s="130"/>
      <c r="AD64" s="115"/>
      <c r="AE64" s="120"/>
      <c r="AF64" s="128"/>
      <c r="AG64" s="129"/>
      <c r="AH64" s="129"/>
      <c r="AI64" s="130"/>
      <c r="AJ64" s="115"/>
      <c r="AK64" s="120"/>
      <c r="AL64" s="128"/>
      <c r="AM64" s="129"/>
      <c r="AN64" s="129"/>
      <c r="AO64" s="130"/>
      <c r="AP64" s="115"/>
      <c r="AQ64" s="115"/>
      <c r="AR64" s="115"/>
      <c r="AS64" s="115"/>
      <c r="AT64" s="115"/>
      <c r="AU64" s="115"/>
      <c r="AV64" s="115"/>
    </row>
    <row r="65" spans="10:48" x14ac:dyDescent="0.2">
      <c r="J65" s="110"/>
      <c r="M65" s="115"/>
      <c r="N65" s="115"/>
      <c r="O65" s="115"/>
      <c r="P65" s="115"/>
      <c r="Q65" s="115"/>
      <c r="R65" s="115"/>
      <c r="S65" s="115"/>
      <c r="T65" s="115"/>
      <c r="U65" s="115"/>
      <c r="V65" s="115"/>
      <c r="W65" s="115"/>
      <c r="X65" s="115"/>
      <c r="Y65" s="115"/>
      <c r="Z65" s="115"/>
      <c r="AA65" s="115"/>
      <c r="AB65" s="115"/>
      <c r="AC65" s="115"/>
      <c r="AD65" s="115"/>
      <c r="AE65" s="115"/>
      <c r="AF65" s="115"/>
      <c r="AG65" s="115"/>
      <c r="AH65" s="115"/>
      <c r="AI65" s="115"/>
      <c r="AJ65" s="115"/>
      <c r="AK65" s="115"/>
      <c r="AL65" s="115"/>
      <c r="AM65" s="115"/>
      <c r="AN65" s="115"/>
      <c r="AO65" s="115"/>
      <c r="AP65" s="115"/>
      <c r="AQ65" s="115"/>
      <c r="AR65" s="115"/>
      <c r="AS65" s="115"/>
      <c r="AT65" s="115"/>
      <c r="AU65" s="115"/>
      <c r="AV65" s="115"/>
    </row>
    <row r="66" spans="10:48" x14ac:dyDescent="0.2">
      <c r="J66" s="110"/>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row>
    <row r="67" spans="10:48" x14ac:dyDescent="0.2">
      <c r="J67" s="110"/>
      <c r="M67" s="138" t="s">
        <v>220</v>
      </c>
      <c r="N67" s="139"/>
      <c r="O67" s="139"/>
      <c r="P67" s="139"/>
      <c r="Q67" s="140"/>
      <c r="R67" s="115"/>
      <c r="S67" s="115"/>
      <c r="T67" s="115"/>
      <c r="U67" s="115"/>
      <c r="V67" s="115"/>
      <c r="W67" s="115"/>
      <c r="X67" s="115"/>
      <c r="Y67" s="115"/>
      <c r="Z67" s="115"/>
      <c r="AA67" s="115"/>
      <c r="AB67" s="115"/>
      <c r="AC67" s="115"/>
      <c r="AD67" s="115"/>
      <c r="AE67" s="115"/>
      <c r="AF67" s="115" t="s">
        <v>245</v>
      </c>
      <c r="AG67" s="115"/>
      <c r="AH67" s="115"/>
      <c r="AI67" s="115"/>
      <c r="AJ67" s="115"/>
      <c r="AK67" s="115"/>
      <c r="AL67" s="115"/>
      <c r="AM67" s="115"/>
      <c r="AN67" s="115"/>
      <c r="AO67" s="115"/>
      <c r="AP67" s="115"/>
      <c r="AQ67" s="115"/>
      <c r="AR67" s="115"/>
      <c r="AS67" s="115"/>
      <c r="AT67" s="115"/>
      <c r="AU67" s="115"/>
      <c r="AV67" s="115"/>
    </row>
    <row r="68" spans="10:48" x14ac:dyDescent="0.2">
      <c r="J68" s="110"/>
      <c r="M68" s="120" t="s">
        <v>133</v>
      </c>
      <c r="N68" s="201" t="s">
        <v>141</v>
      </c>
      <c r="O68" s="202"/>
      <c r="P68" s="202"/>
      <c r="Q68" s="203"/>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row>
    <row r="69" spans="10:48" x14ac:dyDescent="0.2">
      <c r="J69" s="110"/>
      <c r="M69" s="120" t="s">
        <v>221</v>
      </c>
      <c r="N69" s="120" t="s">
        <v>246</v>
      </c>
      <c r="O69" s="141"/>
      <c r="P69" s="141"/>
      <c r="Q69" s="142"/>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row>
    <row r="70" spans="10:48" x14ac:dyDescent="0.2">
      <c r="J70" s="110"/>
      <c r="M70" s="121" t="s">
        <v>244</v>
      </c>
      <c r="N70" s="121" t="s">
        <v>247</v>
      </c>
      <c r="O70" s="121"/>
      <c r="P70" s="121"/>
      <c r="Q70" s="121"/>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row>
    <row r="71" spans="10:48" x14ac:dyDescent="0.2">
      <c r="J71" s="110"/>
      <c r="M71" s="143"/>
      <c r="N71" s="119"/>
      <c r="O71" s="119"/>
      <c r="P71" s="119"/>
      <c r="Q71" s="119"/>
    </row>
    <row r="72" spans="10:48" x14ac:dyDescent="0.2">
      <c r="J72" s="110"/>
      <c r="M72" s="204" t="s">
        <v>222</v>
      </c>
      <c r="N72" s="205"/>
      <c r="O72" s="205"/>
      <c r="P72" s="205"/>
      <c r="Q72" s="206"/>
    </row>
    <row r="73" spans="10:48" x14ac:dyDescent="0.2">
      <c r="M73" s="118" t="s">
        <v>133</v>
      </c>
      <c r="N73" s="195" t="s">
        <v>141</v>
      </c>
      <c r="O73" s="196"/>
      <c r="P73" s="196"/>
      <c r="Q73" s="197"/>
    </row>
    <row r="74" spans="10:48" x14ac:dyDescent="0.2">
      <c r="M74" s="144"/>
      <c r="N74" s="118" t="s">
        <v>243</v>
      </c>
      <c r="O74" s="145"/>
      <c r="P74" s="145"/>
      <c r="Q74" s="146"/>
    </row>
    <row r="75" spans="10:48" x14ac:dyDescent="0.2">
      <c r="M75" s="143"/>
      <c r="N75" s="119"/>
      <c r="O75" s="119"/>
      <c r="P75" s="119"/>
      <c r="Q75" s="119"/>
    </row>
    <row r="76" spans="10:48" x14ac:dyDescent="0.2">
      <c r="M76" s="143"/>
      <c r="N76" s="119"/>
      <c r="O76" s="119"/>
      <c r="P76" s="119"/>
      <c r="Q76" s="119"/>
    </row>
    <row r="77" spans="10:48" ht="15.75" thickBot="1" x14ac:dyDescent="0.25"/>
    <row r="78" spans="10:48" ht="15.75" thickBot="1" x14ac:dyDescent="0.25">
      <c r="M78" s="147" t="s">
        <v>117</v>
      </c>
      <c r="N78" s="148"/>
      <c r="O78" s="148"/>
      <c r="P78" s="148"/>
      <c r="Q78" s="148"/>
      <c r="R78" s="148"/>
      <c r="S78" s="148"/>
      <c r="T78" s="148"/>
      <c r="U78" s="148"/>
      <c r="V78" s="148"/>
      <c r="W78" s="148"/>
      <c r="X78" s="148"/>
      <c r="Y78" s="148"/>
      <c r="Z78" s="148"/>
      <c r="AA78" s="148"/>
      <c r="AB78" s="148"/>
      <c r="AC78" s="148"/>
      <c r="AD78" s="148"/>
      <c r="AE78" s="148"/>
      <c r="AF78" s="148"/>
      <c r="AG78" s="148"/>
      <c r="AH78" s="148"/>
      <c r="AI78" s="148"/>
      <c r="AJ78" s="148"/>
      <c r="AK78" s="148"/>
      <c r="AL78" s="148"/>
      <c r="AM78" s="148"/>
      <c r="AN78" s="148"/>
      <c r="AO78" s="148"/>
      <c r="AP78" s="148"/>
      <c r="AQ78" s="149"/>
    </row>
    <row r="79" spans="10:48" x14ac:dyDescent="0.2">
      <c r="M79" s="150" t="s">
        <v>105</v>
      </c>
      <c r="N79" s="151"/>
      <c r="O79" s="151"/>
      <c r="P79" s="151"/>
      <c r="Q79" s="151"/>
      <c r="R79" s="151"/>
      <c r="S79" s="151"/>
      <c r="T79" s="151"/>
      <c r="U79" s="151"/>
      <c r="V79" s="151"/>
      <c r="W79" s="151"/>
      <c r="X79" s="151"/>
      <c r="Y79" s="151"/>
      <c r="Z79" s="151"/>
      <c r="AA79" s="151"/>
      <c r="AB79" s="151"/>
      <c r="AC79" s="151"/>
      <c r="AD79" s="151"/>
      <c r="AE79" s="151"/>
      <c r="AF79" s="151"/>
      <c r="AG79" s="151"/>
      <c r="AH79" s="151"/>
      <c r="AI79" s="151"/>
      <c r="AJ79" s="151"/>
      <c r="AK79" s="151"/>
      <c r="AL79" s="151"/>
      <c r="AM79" s="151"/>
      <c r="AN79" s="151"/>
      <c r="AO79" s="151"/>
      <c r="AP79" s="151"/>
      <c r="AQ79" s="152"/>
    </row>
    <row r="80" spans="10:48" x14ac:dyDescent="0.2">
      <c r="M80" s="153" t="s">
        <v>106</v>
      </c>
      <c r="N80" s="116"/>
      <c r="O80" s="116"/>
      <c r="P80" s="116"/>
      <c r="Q80" s="116"/>
      <c r="R80" s="116"/>
      <c r="S80" s="116"/>
      <c r="T80" s="116"/>
      <c r="U80" s="116"/>
      <c r="V80" s="116"/>
      <c r="W80" s="116"/>
      <c r="X80" s="116"/>
      <c r="Y80" s="116"/>
      <c r="Z80" s="116"/>
      <c r="AA80" s="116"/>
      <c r="AB80" s="116"/>
      <c r="AC80" s="116"/>
      <c r="AD80" s="116"/>
      <c r="AE80" s="116"/>
      <c r="AF80" s="116"/>
      <c r="AG80" s="116"/>
      <c r="AH80" s="116"/>
      <c r="AI80" s="116"/>
      <c r="AJ80" s="116"/>
      <c r="AK80" s="116"/>
      <c r="AL80" s="116"/>
      <c r="AM80" s="116"/>
      <c r="AN80" s="116"/>
      <c r="AO80" s="116"/>
      <c r="AP80" s="116"/>
      <c r="AQ80" s="154"/>
    </row>
    <row r="81" spans="13:43" x14ac:dyDescent="0.2">
      <c r="M81" s="153" t="s">
        <v>107</v>
      </c>
      <c r="N81" s="116"/>
      <c r="O81" s="116"/>
      <c r="P81" s="116"/>
      <c r="Q81" s="116"/>
      <c r="R81" s="116"/>
      <c r="S81" s="116"/>
      <c r="T81" s="116"/>
      <c r="U81" s="116"/>
      <c r="V81" s="116"/>
      <c r="W81" s="116"/>
      <c r="X81" s="116"/>
      <c r="Y81" s="116"/>
      <c r="Z81" s="116"/>
      <c r="AA81" s="116"/>
      <c r="AB81" s="116"/>
      <c r="AC81" s="116"/>
      <c r="AD81" s="116"/>
      <c r="AE81" s="116"/>
      <c r="AF81" s="116"/>
      <c r="AG81" s="116"/>
      <c r="AH81" s="116"/>
      <c r="AI81" s="116"/>
      <c r="AJ81" s="116"/>
      <c r="AK81" s="116"/>
      <c r="AL81" s="116"/>
      <c r="AM81" s="116"/>
      <c r="AN81" s="116"/>
      <c r="AO81" s="116"/>
      <c r="AP81" s="116"/>
      <c r="AQ81" s="154"/>
    </row>
    <row r="82" spans="13:43" x14ac:dyDescent="0.2">
      <c r="M82" s="153" t="s">
        <v>108</v>
      </c>
      <c r="N82" s="116"/>
      <c r="O82" s="116"/>
      <c r="P82" s="116"/>
      <c r="Q82" s="116"/>
      <c r="R82" s="116"/>
      <c r="S82" s="116"/>
      <c r="T82" s="116"/>
      <c r="U82" s="116"/>
      <c r="V82" s="116"/>
      <c r="W82" s="116"/>
      <c r="X82" s="116"/>
      <c r="Y82" s="116"/>
      <c r="Z82" s="116"/>
      <c r="AA82" s="116"/>
      <c r="AB82" s="116"/>
      <c r="AC82" s="116"/>
      <c r="AD82" s="116"/>
      <c r="AE82" s="116"/>
      <c r="AF82" s="116"/>
      <c r="AG82" s="116"/>
      <c r="AH82" s="116"/>
      <c r="AI82" s="116"/>
      <c r="AJ82" s="116"/>
      <c r="AK82" s="116"/>
      <c r="AL82" s="116"/>
      <c r="AM82" s="116"/>
      <c r="AN82" s="116"/>
      <c r="AO82" s="116"/>
      <c r="AP82" s="116"/>
      <c r="AQ82" s="154"/>
    </row>
    <row r="83" spans="13:43" x14ac:dyDescent="0.2">
      <c r="M83" s="153" t="s">
        <v>109</v>
      </c>
      <c r="N83" s="116"/>
      <c r="O83" s="116"/>
      <c r="P83" s="116"/>
      <c r="Q83" s="116"/>
      <c r="R83" s="116"/>
      <c r="S83" s="116"/>
      <c r="T83" s="116"/>
      <c r="U83" s="116"/>
      <c r="V83" s="116"/>
      <c r="W83" s="116"/>
      <c r="X83" s="116"/>
      <c r="Y83" s="116"/>
      <c r="Z83" s="116"/>
      <c r="AA83" s="116"/>
      <c r="AB83" s="116"/>
      <c r="AC83" s="116"/>
      <c r="AD83" s="116"/>
      <c r="AE83" s="116"/>
      <c r="AF83" s="116"/>
      <c r="AG83" s="116"/>
      <c r="AH83" s="116"/>
      <c r="AI83" s="116"/>
      <c r="AJ83" s="116"/>
      <c r="AK83" s="116"/>
      <c r="AL83" s="116"/>
      <c r="AM83" s="116"/>
      <c r="AN83" s="116"/>
      <c r="AO83" s="116"/>
      <c r="AP83" s="116"/>
      <c r="AQ83" s="154"/>
    </row>
    <row r="84" spans="13:43" x14ac:dyDescent="0.2">
      <c r="M84" s="153" t="s">
        <v>110</v>
      </c>
      <c r="N84" s="116"/>
      <c r="O84" s="116"/>
      <c r="P84" s="116"/>
      <c r="Q84" s="116"/>
      <c r="R84" s="116"/>
      <c r="S84" s="116"/>
      <c r="T84" s="116"/>
      <c r="U84" s="116"/>
      <c r="V84" s="116"/>
      <c r="W84" s="116"/>
      <c r="X84" s="116"/>
      <c r="Y84" s="116"/>
      <c r="Z84" s="116"/>
      <c r="AA84" s="116"/>
      <c r="AB84" s="116"/>
      <c r="AC84" s="116"/>
      <c r="AD84" s="116"/>
      <c r="AE84" s="116"/>
      <c r="AF84" s="116"/>
      <c r="AG84" s="116"/>
      <c r="AH84" s="116"/>
      <c r="AI84" s="116"/>
      <c r="AJ84" s="116"/>
      <c r="AK84" s="116"/>
      <c r="AL84" s="116"/>
      <c r="AM84" s="116"/>
      <c r="AN84" s="116"/>
      <c r="AO84" s="116"/>
      <c r="AP84" s="116"/>
      <c r="AQ84" s="154"/>
    </row>
    <row r="85" spans="13:43" x14ac:dyDescent="0.2">
      <c r="M85" s="153" t="s">
        <v>111</v>
      </c>
      <c r="N85" s="116"/>
      <c r="O85" s="116"/>
      <c r="P85" s="116"/>
      <c r="Q85" s="116"/>
      <c r="R85" s="116"/>
      <c r="S85" s="116"/>
      <c r="T85" s="116"/>
      <c r="U85" s="116"/>
      <c r="V85" s="116"/>
      <c r="W85" s="116"/>
      <c r="X85" s="116"/>
      <c r="Y85" s="116"/>
      <c r="Z85" s="116"/>
      <c r="AA85" s="116"/>
      <c r="AB85" s="116"/>
      <c r="AC85" s="116"/>
      <c r="AD85" s="116"/>
      <c r="AE85" s="116"/>
      <c r="AF85" s="116"/>
      <c r="AG85" s="116"/>
      <c r="AH85" s="116"/>
      <c r="AI85" s="116"/>
      <c r="AJ85" s="116"/>
      <c r="AK85" s="116"/>
      <c r="AL85" s="116"/>
      <c r="AM85" s="116"/>
      <c r="AN85" s="116"/>
      <c r="AO85" s="116"/>
      <c r="AP85" s="116"/>
      <c r="AQ85" s="154"/>
    </row>
    <row r="86" spans="13:43" x14ac:dyDescent="0.2">
      <c r="M86" s="153" t="s">
        <v>112</v>
      </c>
      <c r="N86" s="116"/>
      <c r="O86" s="116"/>
      <c r="P86" s="116"/>
      <c r="Q86" s="116"/>
      <c r="R86" s="116"/>
      <c r="S86" s="116"/>
      <c r="T86" s="116"/>
      <c r="U86" s="116"/>
      <c r="V86" s="116"/>
      <c r="W86" s="116"/>
      <c r="X86" s="116"/>
      <c r="Y86" s="116"/>
      <c r="Z86" s="116"/>
      <c r="AA86" s="116"/>
      <c r="AB86" s="116"/>
      <c r="AC86" s="116"/>
      <c r="AD86" s="116"/>
      <c r="AE86" s="116"/>
      <c r="AF86" s="116"/>
      <c r="AG86" s="116"/>
      <c r="AH86" s="116"/>
      <c r="AI86" s="116"/>
      <c r="AJ86" s="116"/>
      <c r="AK86" s="116"/>
      <c r="AL86" s="116"/>
      <c r="AM86" s="116"/>
      <c r="AN86" s="116"/>
      <c r="AO86" s="116"/>
      <c r="AP86" s="116"/>
      <c r="AQ86" s="154"/>
    </row>
    <row r="87" spans="13:43" ht="15.75" thickBot="1" x14ac:dyDescent="0.25">
      <c r="M87" s="155" t="s">
        <v>113</v>
      </c>
      <c r="N87" s="156"/>
      <c r="O87" s="156"/>
      <c r="P87" s="156"/>
      <c r="Q87" s="156"/>
      <c r="R87" s="156"/>
      <c r="S87" s="156"/>
      <c r="T87" s="156"/>
      <c r="U87" s="156"/>
      <c r="V87" s="156"/>
      <c r="W87" s="156"/>
      <c r="X87" s="156"/>
      <c r="Y87" s="156"/>
      <c r="Z87" s="156"/>
      <c r="AA87" s="156"/>
      <c r="AB87" s="156"/>
      <c r="AC87" s="156"/>
      <c r="AD87" s="156"/>
      <c r="AE87" s="156"/>
      <c r="AF87" s="156"/>
      <c r="AG87" s="156"/>
      <c r="AH87" s="156"/>
      <c r="AI87" s="156"/>
      <c r="AJ87" s="156"/>
      <c r="AK87" s="156"/>
      <c r="AL87" s="156"/>
      <c r="AM87" s="156"/>
      <c r="AN87" s="156"/>
      <c r="AO87" s="156"/>
      <c r="AP87" s="156"/>
      <c r="AQ87" s="157"/>
    </row>
  </sheetData>
  <mergeCells count="79">
    <mergeCell ref="A43:I43"/>
    <mergeCell ref="M55:Q55"/>
    <mergeCell ref="N56:Q56"/>
    <mergeCell ref="AK55:AO55"/>
    <mergeCell ref="AL56:AO56"/>
    <mergeCell ref="S55:W55"/>
    <mergeCell ref="T56:W56"/>
    <mergeCell ref="Y55:AC55"/>
    <mergeCell ref="Z56:AC56"/>
    <mergeCell ref="AE55:AI55"/>
    <mergeCell ref="AF56:AI56"/>
    <mergeCell ref="AQ55:AU55"/>
    <mergeCell ref="AR56:AU56"/>
    <mergeCell ref="AP30:AT30"/>
    <mergeCell ref="AQ31:AT31"/>
    <mergeCell ref="AP40:AT40"/>
    <mergeCell ref="AQ41:AT41"/>
    <mergeCell ref="AV30:AY30"/>
    <mergeCell ref="AW31:AY31"/>
    <mergeCell ref="AJ30:AN30"/>
    <mergeCell ref="AK31:AN31"/>
    <mergeCell ref="M41:P41"/>
    <mergeCell ref="R40:V40"/>
    <mergeCell ref="S41:V41"/>
    <mergeCell ref="X40:AB40"/>
    <mergeCell ref="Y41:AB41"/>
    <mergeCell ref="AD40:AH40"/>
    <mergeCell ref="AE41:AH41"/>
    <mergeCell ref="AJ40:AN40"/>
    <mergeCell ref="AK41:AN41"/>
    <mergeCell ref="R30:V30"/>
    <mergeCell ref="S31:V31"/>
    <mergeCell ref="X30:AB30"/>
    <mergeCell ref="A22:B22"/>
    <mergeCell ref="A23:B23"/>
    <mergeCell ref="A24:B24"/>
    <mergeCell ref="M31:P31"/>
    <mergeCell ref="L30:P30"/>
    <mergeCell ref="A25:B25"/>
    <mergeCell ref="A26:B26"/>
    <mergeCell ref="L24:U24"/>
    <mergeCell ref="L26:U26"/>
    <mergeCell ref="L22:U22"/>
    <mergeCell ref="L23:U23"/>
    <mergeCell ref="L25:U25"/>
    <mergeCell ref="A11:I11"/>
    <mergeCell ref="C15:I15"/>
    <mergeCell ref="L1:L2"/>
    <mergeCell ref="J1:J2"/>
    <mergeCell ref="A20:B21"/>
    <mergeCell ref="K1:K2"/>
    <mergeCell ref="L13:U13"/>
    <mergeCell ref="L21:U21"/>
    <mergeCell ref="W13:AG13"/>
    <mergeCell ref="Y31:AB31"/>
    <mergeCell ref="W17:AF17"/>
    <mergeCell ref="W18:AF18"/>
    <mergeCell ref="W19:AF19"/>
    <mergeCell ref="W20:AF20"/>
    <mergeCell ref="W21:AF21"/>
    <mergeCell ref="X29:AG29"/>
    <mergeCell ref="AD30:AH30"/>
    <mergeCell ref="AE31:AH31"/>
    <mergeCell ref="W27:AF27"/>
    <mergeCell ref="W26:AF26"/>
    <mergeCell ref="W24:AG24"/>
    <mergeCell ref="W25:AG25"/>
    <mergeCell ref="W22:AF22"/>
    <mergeCell ref="N73:Q73"/>
    <mergeCell ref="AK61:AO61"/>
    <mergeCell ref="AL62:AO62"/>
    <mergeCell ref="N68:Q68"/>
    <mergeCell ref="M72:Q72"/>
    <mergeCell ref="S61:W61"/>
    <mergeCell ref="T62:W62"/>
    <mergeCell ref="Y61:AC61"/>
    <mergeCell ref="Z62:AC62"/>
    <mergeCell ref="AE61:AI61"/>
    <mergeCell ref="AF62:AI62"/>
  </mergeCells>
  <printOptions horizontalCentered="1"/>
  <pageMargins left="0.25" right="0.25" top="1" bottom="0.75" header="0.18" footer="0.18"/>
  <pageSetup paperSize="5" scale="80" orientation="portrait" r:id="rId1"/>
  <drawing r:id="rId2"/>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Lembar kerja</vt:lpstr>
      </vt:variant>
      <vt:variant>
        <vt:i4>11</vt:i4>
      </vt:variant>
      <vt:variant>
        <vt:lpstr>Rentang Bernama</vt:lpstr>
      </vt:variant>
      <vt:variant>
        <vt:i4>9</vt:i4>
      </vt:variant>
    </vt:vector>
  </HeadingPairs>
  <TitlesOfParts>
    <vt:vector size="20" baseType="lpstr">
      <vt:lpstr>TO 1</vt:lpstr>
      <vt:lpstr>TO 2</vt:lpstr>
      <vt:lpstr>TO 3</vt:lpstr>
      <vt:lpstr>TO 4</vt:lpstr>
      <vt:lpstr>TO 5</vt:lpstr>
      <vt:lpstr>KU 1</vt:lpstr>
      <vt:lpstr>KU 2</vt:lpstr>
      <vt:lpstr>BU 1</vt:lpstr>
      <vt:lpstr>BU 2</vt:lpstr>
      <vt:lpstr>BlankoSertifikat</vt:lpstr>
      <vt:lpstr>Sertifikat</vt:lpstr>
      <vt:lpstr>BU 1!Print_Area</vt:lpstr>
      <vt:lpstr>BU 2!Print_Area</vt:lpstr>
      <vt:lpstr>KU 1!Print_Area</vt:lpstr>
      <vt:lpstr>KU 2!Print_Area</vt:lpstr>
      <vt:lpstr>Sertifikat!Print_Area</vt:lpstr>
      <vt:lpstr>TO 1!Print_Area</vt:lpstr>
      <vt:lpstr>TO 3!Print_Area</vt:lpstr>
      <vt:lpstr>TO 4!Print_Area</vt:lpstr>
      <vt:lpstr>TO 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Excellent</dc:creator>
  <cp:lastModifiedBy>Lenovo NXQC OHS</cp:lastModifiedBy>
  <cp:lastPrinted>2024-01-01T15:49:58Z</cp:lastPrinted>
  <dcterms:created xsi:type="dcterms:W3CDTF">2016-12-06T03:29:58Z</dcterms:created>
  <dcterms:modified xsi:type="dcterms:W3CDTF">2024-01-30T15:57:28Z</dcterms:modified>
</cp:coreProperties>
</file>